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8_{38C8B825-094F-4CD4-AA0F-73F1E6A0502D}" xr6:coauthVersionLast="47" xr6:coauthVersionMax="47" xr10:uidLastSave="{00000000-0000-0000-0000-000000000000}"/>
  <bookViews>
    <workbookView xWindow="4545" yWindow="2550" windowWidth="21600" windowHeight="11295" xr2:uid="{3B63A9E9-A719-451F-A337-E6050824AFD1}"/>
  </bookViews>
  <sheets>
    <sheet name="Store_Data" sheetId="1" r:id="rId1"/>
    <sheet name="Store_Summary" sheetId="7"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1" l="1"/>
  <c r="D19" i="1"/>
  <c r="D18" i="1"/>
  <c r="D17" i="1"/>
  <c r="D16" i="1"/>
</calcChain>
</file>

<file path=xl/sharedStrings.xml><?xml version="1.0" encoding="utf-8"?>
<sst xmlns="http://schemas.openxmlformats.org/spreadsheetml/2006/main" count="22" uniqueCount="22">
  <si>
    <t>Store</t>
  </si>
  <si>
    <t>Monthly Sales</t>
  </si>
  <si>
    <t>Store A</t>
  </si>
  <si>
    <t>Store B</t>
  </si>
  <si>
    <t>Store C</t>
  </si>
  <si>
    <t>Store D</t>
  </si>
  <si>
    <t>Store E</t>
  </si>
  <si>
    <t>Store F</t>
  </si>
  <si>
    <t>Store G</t>
  </si>
  <si>
    <t>Store H</t>
  </si>
  <si>
    <t>Store I</t>
  </si>
  <si>
    <t>Store J</t>
  </si>
  <si>
    <t>Store K</t>
  </si>
  <si>
    <t>Store L</t>
  </si>
  <si>
    <t>Mean</t>
  </si>
  <si>
    <t>Median</t>
  </si>
  <si>
    <t>Mode</t>
  </si>
  <si>
    <t>Range</t>
  </si>
  <si>
    <t>Standard Deviation</t>
  </si>
  <si>
    <t xml:space="preserve">Store H </t>
  </si>
  <si>
    <t>is unusally high (72)</t>
  </si>
  <si>
    <t>Standard Deviation (no 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</si>
</sst>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447676</xdr:colOff>
      <xdr:row>3</xdr:row>
      <xdr:rowOff>142876</xdr:rowOff>
    </xdr:from>
    <xdr:to>
      <xdr:col>12</xdr:col>
      <xdr:colOff>9526</xdr:colOff>
      <xdr:row>24</xdr:row>
      <xdr:rowOff>28576</xdr:rowOff>
    </xdr:to>
    <xdr:sp macro="" textlink="">
      <xdr:nvSpPr>
        <xdr:cNvPr id="2" name="TextBox 1">
          <a:extLst>
            <a:ext uri="{FF2B5EF4-FFF2-40B4-BE49-F238E27FC236}">
              <a16:creationId xmlns:a16="http://schemas.microsoft.com/office/drawing/2014/main" id="{525D31BF-2FA5-03E9-222A-D246CF377A14}"/>
            </a:ext>
          </a:extLst>
        </xdr:cNvPr>
        <xdr:cNvSpPr txBox="1"/>
      </xdr:nvSpPr>
      <xdr:spPr>
        <a:xfrm>
          <a:off x="1666876" y="714376"/>
          <a:ext cx="5657850" cy="3886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The overall average peformance from all stores was 49.42. The store that peformed tightly  was Store A, C,J and L. The store that influenced the results drastically was Store H. Store H was the main store that helped keep the overall peformance of all stores afloat.</a:t>
          </a:r>
        </a:p>
        <a:p>
          <a:r>
            <a:rPr lang="en-US" sz="1600"/>
            <a:t>If you was to remove store H from the list of stores, the numbers change drastically. The additional information I would like to know is, why did all stores peform so low compared to Store H? Store H tactics should be addressed to all stores in order to progress better</a:t>
          </a:r>
          <a:r>
            <a:rPr lang="en-US" sz="1100"/>
            <a:t>.</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33953-D91D-4573-ACEB-F41FE93D5317}">
  <dimension ref="A1:D22"/>
  <sheetViews>
    <sheetView tabSelected="1" workbookViewId="0">
      <selection activeCell="D22" sqref="D22"/>
    </sheetView>
  </sheetViews>
  <sheetFormatPr defaultRowHeight="15" x14ac:dyDescent="0.25"/>
  <cols>
    <col min="1" max="1" width="24.140625" customWidth="1"/>
    <col min="2" max="2" width="19.28515625" customWidth="1"/>
  </cols>
  <sheetData>
    <row r="1" spans="1:4" x14ac:dyDescent="0.25">
      <c r="A1" s="1" t="s">
        <v>0</v>
      </c>
      <c r="C1" s="1" t="s">
        <v>1</v>
      </c>
    </row>
    <row r="2" spans="1:4" x14ac:dyDescent="0.25">
      <c r="A2" t="s">
        <v>2</v>
      </c>
      <c r="D2">
        <v>51</v>
      </c>
    </row>
    <row r="3" spans="1:4" x14ac:dyDescent="0.25">
      <c r="A3" t="s">
        <v>3</v>
      </c>
      <c r="D3">
        <v>44</v>
      </c>
    </row>
    <row r="4" spans="1:4" x14ac:dyDescent="0.25">
      <c r="A4" t="s">
        <v>4</v>
      </c>
      <c r="D4">
        <v>49</v>
      </c>
    </row>
    <row r="5" spans="1:4" x14ac:dyDescent="0.25">
      <c r="A5" t="s">
        <v>5</v>
      </c>
      <c r="D5">
        <v>46</v>
      </c>
    </row>
    <row r="6" spans="1:4" x14ac:dyDescent="0.25">
      <c r="A6" t="s">
        <v>6</v>
      </c>
      <c r="D6">
        <v>52</v>
      </c>
    </row>
    <row r="7" spans="1:4" x14ac:dyDescent="0.25">
      <c r="A7" t="s">
        <v>7</v>
      </c>
      <c r="D7">
        <v>47</v>
      </c>
    </row>
    <row r="8" spans="1:4" x14ac:dyDescent="0.25">
      <c r="A8" t="s">
        <v>8</v>
      </c>
      <c r="D8">
        <v>45</v>
      </c>
    </row>
    <row r="9" spans="1:4" x14ac:dyDescent="0.25">
      <c r="A9" t="s">
        <v>9</v>
      </c>
      <c r="D9">
        <v>72</v>
      </c>
    </row>
    <row r="10" spans="1:4" x14ac:dyDescent="0.25">
      <c r="A10" t="s">
        <v>10</v>
      </c>
      <c r="D10">
        <v>43</v>
      </c>
    </row>
    <row r="11" spans="1:4" x14ac:dyDescent="0.25">
      <c r="A11" t="s">
        <v>11</v>
      </c>
      <c r="D11">
        <v>48</v>
      </c>
    </row>
    <row r="12" spans="1:4" x14ac:dyDescent="0.25">
      <c r="A12" t="s">
        <v>12</v>
      </c>
      <c r="D12">
        <v>46</v>
      </c>
    </row>
    <row r="13" spans="1:4" x14ac:dyDescent="0.25">
      <c r="A13" t="s">
        <v>13</v>
      </c>
      <c r="D13">
        <v>50</v>
      </c>
    </row>
    <row r="16" spans="1:4" x14ac:dyDescent="0.25">
      <c r="A16" s="1" t="s">
        <v>14</v>
      </c>
      <c r="D16">
        <f>AVERAGE(D2:D13)</f>
        <v>49.416666666666664</v>
      </c>
    </row>
    <row r="17" spans="1:4" x14ac:dyDescent="0.25">
      <c r="A17" s="1" t="s">
        <v>15</v>
      </c>
      <c r="D17">
        <f>MEDIAN(D2:D13)</f>
        <v>47.5</v>
      </c>
    </row>
    <row r="18" spans="1:4" x14ac:dyDescent="0.25">
      <c r="A18" s="1" t="s">
        <v>16</v>
      </c>
      <c r="D18">
        <f>_xlfn.MODE.SNGL(D2:D13)</f>
        <v>46</v>
      </c>
    </row>
    <row r="19" spans="1:4" x14ac:dyDescent="0.25">
      <c r="A19" s="1" t="s">
        <v>17</v>
      </c>
      <c r="D19">
        <f>MAX(D2:D13)-MIN(D2:D13)</f>
        <v>29</v>
      </c>
    </row>
    <row r="20" spans="1:4" x14ac:dyDescent="0.25">
      <c r="A20" s="1" t="s">
        <v>18</v>
      </c>
      <c r="D20">
        <f>_xlfn.STDEV.S(D2:D13)</f>
        <v>7.6331613054586773</v>
      </c>
    </row>
    <row r="21" spans="1:4" x14ac:dyDescent="0.25">
      <c r="A21" s="1" t="s">
        <v>21</v>
      </c>
      <c r="D21">
        <v>2.90767</v>
      </c>
    </row>
    <row r="22" spans="1:4" x14ac:dyDescent="0.25">
      <c r="A22" s="1" t="s">
        <v>19</v>
      </c>
      <c r="B22" t="s">
        <v>20</v>
      </c>
    </row>
  </sheetData>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3E4A1-5FB9-4DD3-8890-883442C2FC06}">
  <dimension ref="A1"/>
  <sheetViews>
    <sheetView workbookViewId="0">
      <selection activeCell="F3" sqref="F3"/>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Store_Data</vt:lpstr>
      <vt:lpstr>Store_Summary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Lopez</dc:creator>
  <cp:lastModifiedBy>Jonathan Lopez</cp:lastModifiedBy>
  <cp:lastPrinted>2026-03-27T01:19:37Z</cp:lastPrinted>
  <dcterms:created xsi:type="dcterms:W3CDTF">2026-03-26T23:29:42Z</dcterms:created>
  <dcterms:modified xsi:type="dcterms:W3CDTF">2026-03-27T16:47:50Z</dcterms:modified>
</cp:coreProperties>
</file>