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cuments\DataAnalytics\week-1\"/>
    </mc:Choice>
  </mc:AlternateContent>
  <xr:revisionPtr revIDLastSave="0" documentId="13_ncr:1_{F93188AF-D629-436D-9EEC-A7804823EE3C}" xr6:coauthVersionLast="47" xr6:coauthVersionMax="47" xr10:uidLastSave="{00000000-0000-0000-0000-000000000000}"/>
  <bookViews>
    <workbookView xWindow="-30828" yWindow="3960" windowWidth="30936" windowHeight="16776" xr2:uid="{00000000-000D-0000-FFFF-FFFF00000000}"/>
  </bookViews>
  <sheets>
    <sheet name="Survey_Data" sheetId="1" r:id="rId1"/>
    <sheet name="Survey_Charts" sheetId="3" r:id="rId2"/>
    <sheet name="Survey_Summary" sheetId="2" r:id="rId3"/>
  </sheets>
  <calcPr calcId="191028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G11" i="1"/>
  <c r="F11" i="1"/>
  <c r="D11" i="1"/>
  <c r="D2" i="1"/>
  <c r="D3" i="1"/>
  <c r="D4" i="1"/>
  <c r="D5" i="1"/>
  <c r="D6" i="1"/>
  <c r="D7" i="1"/>
  <c r="D8" i="1"/>
  <c r="D9" i="1"/>
  <c r="D10" i="1"/>
</calcChain>
</file>

<file path=xl/sharedStrings.xml><?xml version="1.0" encoding="utf-8"?>
<sst xmlns="http://schemas.openxmlformats.org/spreadsheetml/2006/main" count="72" uniqueCount="47">
  <si>
    <t>Id</t>
  </si>
  <si>
    <t>Start time</t>
  </si>
  <si>
    <t>Completion time</t>
  </si>
  <si>
    <t>Email</t>
  </si>
  <si>
    <t xml:space="preserve">How would you rate our customer satisfaction today?
</t>
  </si>
  <si>
    <t>How likely are you to recommend us to a friend/family member?</t>
  </si>
  <si>
    <t>Which coffee style was your favorite?</t>
  </si>
  <si>
    <t>How would you rate our cleanliness/layout?</t>
  </si>
  <si>
    <t>Would you join our loyalty program for points if we made one?</t>
  </si>
  <si>
    <t>What can we do to have you visit more often? (select all that apply)</t>
  </si>
  <si>
    <t>What did you enjoy MOST about visiting us today?</t>
  </si>
  <si>
    <t>Any additional comments you may have?</t>
  </si>
  <si>
    <t>anonymous</t>
  </si>
  <si>
    <t>Cappuccino</t>
  </si>
  <si>
    <t>Yes</t>
  </si>
  <si>
    <t>M&amp;P Stanleys;Special Events;New Items;Birthday Rewards;Stamp Card (Every 6th coffee is free!);</t>
  </si>
  <si>
    <t>The customer service!</t>
  </si>
  <si>
    <t>Stamp Card (Every 6th coffee is free!);Birthday Rewards;Special Events;</t>
  </si>
  <si>
    <t xml:space="preserve">I LOVED the baseball decor, very cute trendy spot. Looking forward to wfh at your cafe soon!
</t>
  </si>
  <si>
    <t xml:space="preserve">I would recommend having more types of muffins on the menu. </t>
  </si>
  <si>
    <t>Stamp Card (Every 6th coffee is free!);</t>
  </si>
  <si>
    <t xml:space="preserve">Efficiency, coffee tasted great. Good customer service </t>
  </si>
  <si>
    <t>Latte</t>
  </si>
  <si>
    <t>Special Events;Birthday Rewards;New Items;</t>
  </si>
  <si>
    <t xml:space="preserve">I enjoyed the surrounding and everything within the building </t>
  </si>
  <si>
    <t>No comments at the moment.</t>
  </si>
  <si>
    <t>Special Events;Stamp Card (Every 6th coffee is free!);</t>
  </si>
  <si>
    <t>The fast service</t>
  </si>
  <si>
    <t>Add more deals and discounts</t>
  </si>
  <si>
    <t>Maybe</t>
  </si>
  <si>
    <t>Atmosphere and quality of food is good.</t>
  </si>
  <si>
    <t>Cortado</t>
  </si>
  <si>
    <t>Birthday Rewards;Stamp Card (Every 6th coffee is free!);</t>
  </si>
  <si>
    <t xml:space="preserve">I enjoyed the chill and more relaxed atmosphere. It was definitely my favorite and I plan to visit more in the future. </t>
  </si>
  <si>
    <t xml:space="preserve">I don't have any additional comments at this time. </t>
  </si>
  <si>
    <t>Macchiato </t>
  </si>
  <si>
    <t>New Items;Special Events;</t>
  </si>
  <si>
    <t xml:space="preserve">Beautiful interior and quite place </t>
  </si>
  <si>
    <t>Keep up</t>
  </si>
  <si>
    <t>Drip Coffee</t>
  </si>
  <si>
    <t>Birthday Rewards;Stamp Card (Every 6th coffee is free!);Special Events;M&amp;P Stanleys;New Items;</t>
  </si>
  <si>
    <t xml:space="preserve">The staff with welcoming greetings </t>
  </si>
  <si>
    <t xml:space="preserve">The wait time </t>
  </si>
  <si>
    <t>Time Taken</t>
  </si>
  <si>
    <t>Sum of Id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</si>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</sst>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/dd/yy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166" fontId="0" fillId="0" borderId="0" xfId="0" applyNumberFormat="1"/>
    <xf numFmtId="45" fontId="0" fillId="0" borderId="0" xfId="0" applyNumberFormat="1"/>
    <xf numFmtId="49" fontId="0" fillId="0" borderId="0" xfId="0" applyNumberFormat="1"/>
    <xf numFmtId="2" fontId="0" fillId="0" borderId="0" xfId="0" applyNumberFormat="1"/>
    <xf numFmtId="0" fontId="0" fillId="0" borderId="0" xfId="0" quotePrefix="1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6"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2" formatCode="0.00"/>
    </dxf>
    <dxf>
      <numFmt numFmtId="30" formatCode="@"/>
    </dxf>
    <dxf>
      <numFmt numFmtId="0" formatCode="General"/>
    </dxf>
    <dxf>
      <numFmt numFmtId="2" formatCode="0.00"/>
    </dxf>
    <dxf>
      <numFmt numFmtId="30" formatCode="@"/>
    </dxf>
    <dxf>
      <numFmt numFmtId="28" formatCode="mm:ss"/>
    </dxf>
    <dxf>
      <numFmt numFmtId="166" formatCode="mm/dd/yyyy\ hh:mm:ss"/>
    </dxf>
    <dxf>
      <numFmt numFmtId="166" formatCode="mm/dd/yyyy\ hh:mm:ss"/>
    </dxf>
    <dxf>
      <numFmt numFmtId="0" formatCode="General"/>
    </dxf>
    <dxf>
      <numFmt numFmtId="28" formatCode="mm:ss"/>
    </dxf>
    <dxf>
      <numFmt numFmtId="166" formatCode="mm/dd/yyyy\ hh:mm:ss"/>
    </dxf>
    <dxf>
      <numFmt numFmtId="166" formatCode="mm/dd/yyyy\ hh:mm:ss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[Milk&amp;Pull_CustomerReviews_Survey.xlsx]Survey_Charts!PivotTable1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Favorite</a:t>
            </a:r>
            <a:r>
              <a:rPr lang="en-US" baseline="0"/>
              <a:t> Coffee Style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Survey_Charts!$B$1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Survey_Charts!$A$2:$A$7</c:f>
              <c:strCache>
                <c:ptCount val="5"/>
                <c:pt idx="0">
                  <c:v>Cappuccino</c:v>
                </c:pt>
                <c:pt idx="1">
                  <c:v>Cortado</c:v>
                </c:pt>
                <c:pt idx="2">
                  <c:v>Drip Coffee</c:v>
                </c:pt>
                <c:pt idx="3">
                  <c:v>Latte</c:v>
                </c:pt>
                <c:pt idx="4">
                  <c:v>Macchiato </c:v>
                </c:pt>
              </c:strCache>
            </c:strRef>
          </c:cat>
          <c:val>
            <c:numRef>
              <c:f>Survey_Charts!$B$2:$B$7</c:f>
              <c:numCache>
                <c:formatCode>General</c:formatCode>
                <c:ptCount val="5"/>
                <c:pt idx="0">
                  <c:v>11</c:v>
                </c:pt>
                <c:pt idx="1">
                  <c:v>7</c:v>
                </c:pt>
                <c:pt idx="2">
                  <c:v>9</c:v>
                </c:pt>
                <c:pt idx="3">
                  <c:v>10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E0-40CB-BAD2-806C3B4E9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179070</xdr:colOff>
      <xdr:row>0</xdr:row>
      <xdr:rowOff>43814</xdr:rowOff>
    </xdr:from>
    <xdr:to>
      <xdr:col>12</xdr:col>
      <xdr:colOff>457200</xdr:colOff>
      <xdr:row>19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F83AFB-CDA9-DF7E-64B7-E996DFC60F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</xdr:row>
      <xdr:rowOff>9524</xdr:rowOff>
    </xdr:from>
    <xdr:to>
      <xdr:col>15</xdr:col>
      <xdr:colOff>205740</xdr:colOff>
      <xdr:row>32</xdr:row>
      <xdr:rowOff>99059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FF31129-4729-3374-793D-2A30F0F23AC8}"/>
            </a:ext>
          </a:extLst>
        </xdr:cNvPr>
        <xdr:cNvSpPr txBox="1"/>
      </xdr:nvSpPr>
      <xdr:spPr>
        <a:xfrm>
          <a:off x="628650" y="390524"/>
          <a:ext cx="8721090" cy="58045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3.</a:t>
          </a:r>
        </a:p>
        <a:p>
          <a:r>
            <a:rPr lang="en-US"/>
            <a:t>a) The first three columns were auto-generated by Microsoft Forms. </a:t>
          </a:r>
        </a:p>
        <a:p>
          <a:r>
            <a:rPr lang="en-US"/>
            <a:t> - What do each of these columns represent? They</a:t>
          </a:r>
          <a:r>
            <a:rPr lang="en-US" baseline="0"/>
            <a:t> represent the questions that I placed on my survey for my customers to answer. </a:t>
          </a:r>
          <a:endParaRPr lang="en-US"/>
        </a:p>
        <a:p>
          <a:endParaRPr lang="en-US"/>
        </a:p>
        <a:p>
          <a:endParaRPr lang="en-US"/>
        </a:p>
        <a:p>
          <a:r>
            <a:rPr lang="en-US"/>
            <a:t>-  Why do you think the “id” column was included? The ID column was created to show</a:t>
          </a:r>
          <a:r>
            <a:rPr lang="en-US" baseline="0"/>
            <a:t> how many customers did the survey and to specify which anwers belonged to that ID number.</a:t>
          </a:r>
        </a:p>
        <a:p>
          <a:endParaRPr lang="en-US" sz="1100" baseline="0"/>
        </a:p>
        <a:p>
          <a:r>
            <a:rPr lang="en-US" sz="1100" baseline="0"/>
            <a:t>4.</a:t>
          </a:r>
        </a:p>
        <a:p>
          <a:r>
            <a:rPr lang="en-US" sz="1100" baseline="0"/>
            <a:t>b). </a:t>
          </a:r>
          <a:r>
            <a:rPr lang="en-US"/>
            <a:t>Use the drop-down to change the data type to Short Date. What happens to the column text? It removes the</a:t>
          </a:r>
          <a:r>
            <a:rPr lang="en-US" baseline="0"/>
            <a:t> start time and only keeps the date.</a:t>
          </a:r>
        </a:p>
        <a:p>
          <a:r>
            <a:rPr lang="en-US" sz="1100" baseline="0"/>
            <a:t>c). </a:t>
          </a:r>
          <a:r>
            <a:rPr lang="en-US"/>
            <a:t>Now change the drop-down back to General. What happens? It puts it in a decimal format.</a:t>
          </a:r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2.652470717592" createdVersion="8" refreshedVersion="8" minRefreshableVersion="3" recordCount="9" xr:uid="{ADD2487C-AC00-4072-99D2-B89146A63D75}">
  <cacheSource type="worksheet">
    <worksheetSource name="OfficeForms.Table"/>
  </cacheSource>
  <cacheFields count="20">
    <cacheField name="Id" numFmtId="0">
      <sharedItems containsSemiMixedTypes="0" containsString="0" containsNumber="1" containsInteger="1" minValue="1" maxValue="9"/>
    </cacheField>
    <cacheField name="Start time" numFmtId="166">
      <sharedItems containsSemiMixedTypes="0" containsNonDate="0" containsDate="1" containsString="0" minDate="2026-04-08T18:25:07" maxDate="2026-04-10T01:09:45" count="9">
        <d v="2026-04-08T18:25:07"/>
        <d v="2026-04-08T19:07:44"/>
        <d v="2026-04-08T21:57:46"/>
        <d v="2026-04-08T22:07:28"/>
        <d v="2026-04-08T22:54:53"/>
        <d v="2026-04-09T09:42:20"/>
        <d v="2026-04-09T10:49:01"/>
        <d v="2026-04-09T10:53:52"/>
        <d v="2026-04-10T01:09:45"/>
      </sharedItems>
      <fieldGroup par="19"/>
    </cacheField>
    <cacheField name="Completion time" numFmtId="166">
      <sharedItems containsSemiMixedTypes="0" containsNonDate="0" containsDate="1" containsString="0" minDate="2026-04-08T18:25:46" maxDate="2026-04-10T01:10:46" count="9">
        <d v="2026-04-08T18:25:46"/>
        <d v="2026-04-08T19:09:37"/>
        <d v="2026-04-08T21:58:53"/>
        <d v="2026-04-08T22:11:25"/>
        <d v="2026-04-08T22:57:52"/>
        <d v="2026-04-09T09:44:46"/>
        <d v="2026-04-09T10:51:43"/>
        <d v="2026-04-09T10:55:14"/>
        <d v="2026-04-10T01:10:46"/>
      </sharedItems>
      <fieldGroup par="15"/>
    </cacheField>
    <cacheField name="Time Taken" numFmtId="45">
      <sharedItems containsSemiMixedTypes="0" containsNonDate="0" containsDate="1" containsString="0" minDate="1899-12-30T00:00:39" maxDate="1899-12-30T00:03:57"/>
    </cacheField>
    <cacheField name="Email" numFmtId="0">
      <sharedItems/>
    </cacheField>
    <cacheField name="How would you rate our customer satisfaction today?_x000a_" numFmtId="0">
      <sharedItems containsSemiMixedTypes="0" containsString="0" containsNumber="1" containsInteger="1" minValue="2" maxValue="5"/>
    </cacheField>
    <cacheField name="How likely are you to recommend us to a friend/family member?" numFmtId="0">
      <sharedItems containsSemiMixedTypes="0" containsString="0" containsNumber="1" containsInteger="1" minValue="8" maxValue="10"/>
    </cacheField>
    <cacheField name="Which coffee style was your favorite?" numFmtId="0">
      <sharedItems count="5">
        <s v="Cappuccino"/>
        <s v="Latte"/>
        <s v="Cortado"/>
        <s v="Macchiato "/>
        <s v="Drip Coffee"/>
      </sharedItems>
    </cacheField>
    <cacheField name="How would you rate our cleanliness/layout?" numFmtId="0">
      <sharedItems containsSemiMixedTypes="0" containsString="0" containsNumber="1" containsInteger="1" minValue="4" maxValue="5"/>
    </cacheField>
    <cacheField name="Would you join our loyalty program for points if we made one?" numFmtId="0">
      <sharedItems/>
    </cacheField>
    <cacheField name="What can we do to have you visit more often? (select all that apply)" numFmtId="0">
      <sharedItems/>
    </cacheField>
    <cacheField name="What did you enjoy MOST about visiting us today?" numFmtId="0">
      <sharedItems/>
    </cacheField>
    <cacheField name="Any additional comments you may have?" numFmtId="0">
      <sharedItems containsBlank="1"/>
    </cacheField>
    <cacheField name="Minutes (Completion time)" numFmtId="0" databaseField="0">
      <fieldGroup base="2">
        <rangePr groupBy="minutes" startDate="2026-04-08T18:25:46" endDate="2026-04-10T01:10:46"/>
        <groupItems count="62">
          <s v="&lt;4/8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4/10/2026"/>
        </groupItems>
      </fieldGroup>
    </cacheField>
    <cacheField name="Hours (Completion time)" numFmtId="0" databaseField="0">
      <fieldGroup base="2">
        <rangePr groupBy="hours" startDate="2026-04-08T18:25:46" endDate="2026-04-10T01:10:46"/>
        <groupItems count="26">
          <s v="&lt;4/8/2026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4/10/2026"/>
        </groupItems>
      </fieldGroup>
    </cacheField>
    <cacheField name="Days (Completion time)" numFmtId="0" databaseField="0">
      <fieldGroup base="2">
        <rangePr groupBy="days" startDate="2026-04-08T18:25:46" endDate="2026-04-10T01:10:46"/>
        <groupItems count="368">
          <s v="&lt;4/8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10/2026"/>
        </groupItems>
      </fieldGroup>
    </cacheField>
    <cacheField name="Seconds (Start time)" numFmtId="0" databaseField="0">
      <fieldGroup base="1">
        <rangePr groupBy="seconds" startDate="2026-04-08T18:25:07" endDate="2026-04-10T01:09:45"/>
        <groupItems count="62">
          <s v="&lt;4/8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4/10/2026"/>
        </groupItems>
      </fieldGroup>
    </cacheField>
    <cacheField name="Minutes (Start time)" numFmtId="0" databaseField="0">
      <fieldGroup base="1">
        <rangePr groupBy="minutes" startDate="2026-04-08T18:25:07" endDate="2026-04-10T01:09:45"/>
        <groupItems count="62">
          <s v="&lt;4/8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4/10/2026"/>
        </groupItems>
      </fieldGroup>
    </cacheField>
    <cacheField name="Hours (Start time)" numFmtId="0" databaseField="0">
      <fieldGroup base="1">
        <rangePr groupBy="hours" startDate="2026-04-08T18:25:07" endDate="2026-04-10T01:09:45"/>
        <groupItems count="26">
          <s v="&lt;4/8/2026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4/10/2026"/>
        </groupItems>
      </fieldGroup>
    </cacheField>
    <cacheField name="Days (Start time)" numFmtId="0" databaseField="0">
      <fieldGroup base="1">
        <rangePr groupBy="days" startDate="2026-04-08T18:25:07" endDate="2026-04-10T01:09:45"/>
        <groupItems count="368">
          <s v="&lt;4/8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10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1"/>
    <x v="0"/>
    <x v="0"/>
    <d v="1899-12-30T00:00:39"/>
    <s v="anonymous"/>
    <n v="5"/>
    <n v="10"/>
    <x v="0"/>
    <n v="5"/>
    <s v="Yes"/>
    <s v="M&amp;P Stanleys;Special Events;New Items;Birthday Rewards;Stamp Card (Every 6th coffee is free!);"/>
    <s v="The customer service!"/>
    <m/>
  </r>
  <r>
    <n v="2"/>
    <x v="1"/>
    <x v="1"/>
    <d v="1899-12-30T00:01:53"/>
    <s v="anonymous"/>
    <n v="2"/>
    <n v="8"/>
    <x v="0"/>
    <n v="5"/>
    <s v="Yes"/>
    <s v="Stamp Card (Every 6th coffee is free!);Birthday Rewards;Special Events;"/>
    <s v="I LOVED the baseball decor, very cute trendy spot. Looking forward to wfh at your cafe soon!_x000a_"/>
    <s v="I would recommend having more types of muffins on the menu. "/>
  </r>
  <r>
    <n v="3"/>
    <x v="2"/>
    <x v="2"/>
    <d v="1899-12-30T00:01:07"/>
    <s v="anonymous"/>
    <n v="5"/>
    <n v="8"/>
    <x v="0"/>
    <n v="5"/>
    <s v="Yes"/>
    <s v="Stamp Card (Every 6th coffee is free!);"/>
    <s v="Efficiency, coffee tasted great. Good customer service "/>
    <m/>
  </r>
  <r>
    <n v="4"/>
    <x v="3"/>
    <x v="3"/>
    <d v="1899-12-30T00:03:57"/>
    <s v="anonymous"/>
    <n v="5"/>
    <n v="9"/>
    <x v="1"/>
    <n v="5"/>
    <s v="Yes"/>
    <s v="Special Events;Birthday Rewards;New Items;"/>
    <s v="I enjoyed the surrounding and everything within the building "/>
    <s v="No comments at the moment."/>
  </r>
  <r>
    <n v="5"/>
    <x v="4"/>
    <x v="4"/>
    <d v="1899-12-30T00:02:59"/>
    <s v="anonymous"/>
    <n v="5"/>
    <n v="9"/>
    <x v="0"/>
    <n v="5"/>
    <s v="Yes"/>
    <s v="Special Events;Stamp Card (Every 6th coffee is free!);"/>
    <s v="The fast service"/>
    <s v="Add more deals and discounts"/>
  </r>
  <r>
    <n v="6"/>
    <x v="5"/>
    <x v="5"/>
    <d v="1899-12-30T00:02:26"/>
    <s v="anonymous"/>
    <n v="4"/>
    <n v="8"/>
    <x v="1"/>
    <n v="5"/>
    <s v="Maybe"/>
    <s v="Stamp Card (Every 6th coffee is free!);"/>
    <s v="Atmosphere and quality of food is good."/>
    <m/>
  </r>
  <r>
    <n v="7"/>
    <x v="6"/>
    <x v="6"/>
    <d v="1899-12-30T00:02:42"/>
    <s v="anonymous"/>
    <n v="4"/>
    <n v="9"/>
    <x v="2"/>
    <n v="5"/>
    <s v="Yes"/>
    <s v="Birthday Rewards;Stamp Card (Every 6th coffee is free!);"/>
    <s v="I enjoyed the chill and more relaxed atmosphere. It was definitely my favorite and I plan to visit more in the future. "/>
    <s v="I don't have any additional comments at this time. "/>
  </r>
  <r>
    <n v="8"/>
    <x v="7"/>
    <x v="7"/>
    <d v="1899-12-30T00:01:22"/>
    <s v="anonymous"/>
    <n v="5"/>
    <n v="10"/>
    <x v="3"/>
    <n v="4"/>
    <s v="Yes"/>
    <s v="New Items;Special Events;"/>
    <s v="Beautiful interior and quite place "/>
    <s v="Keep up"/>
  </r>
  <r>
    <n v="9"/>
    <x v="8"/>
    <x v="8"/>
    <d v="1899-12-30T00:01:01"/>
    <s v="anonymous"/>
    <n v="5"/>
    <n v="10"/>
    <x v="4"/>
    <n v="5"/>
    <s v="Yes"/>
    <s v="Birthday Rewards;Stamp Card (Every 6th coffee is free!);Special Events;M&amp;P Stanleys;New Items;"/>
    <s v="The staff with welcoming greetings "/>
    <s v="The wait time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56861B-C61C-4678-9B48-8ECAA1D8934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7" firstHeaderRow="1" firstDataRow="1" firstDataCol="1"/>
  <pivotFields count="20">
    <pivotField dataField="1" showAll="0"/>
    <pivotField numFmtId="166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166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45" showAll="0"/>
    <pivotField showAll="0"/>
    <pivotField showAll="0"/>
    <pivotField showAll="0"/>
    <pivotField axis="axisRow" showAll="0">
      <items count="6">
        <item x="0"/>
        <item x="2"/>
        <item x="4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Id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M11" totalsRowCount="1">
  <autoFilter ref="A1:M10" xr:uid="{00000000-0009-0000-0100-000001000000}"/>
  <tableColumns count="13">
    <tableColumn id="1" xr3:uid="{00000000-0010-0000-0000-000001000000}" name="Id" dataDxfId="16" totalsRowDxfId="12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15" totalsRowDxfId="11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 dataDxfId="14" totalsRowDxfId="10">
      <extLst>
        <ext xmlns:xlmsforms="http://schemas.microsoft.com/office/spreadsheetml/2023/msForms" uri="{FCC71383-01E1-4257-9335-427F07BE8D7F}">
          <xlmsforms:question id="submitDate"/>
        </ext>
      </extLst>
    </tableColumn>
    <tableColumn id="5" xr3:uid="{4F65481E-B2E6-44CC-8712-6C566F98D18B}" name="Time Taken" totalsRowFunction="custom" dataDxfId="13" totalsRowDxfId="9">
      <calculatedColumnFormula>C2-B2</calculatedColumnFormula>
      <totalsRowFormula>AVERAGE(OfficeForms.Table[Time Taken])</totalsRowFormula>
    </tableColumn>
    <tableColumn id="4" xr3:uid="{00000000-0010-0000-0000-000004000000}" name="Email" dataDxfId="25" totalsRowDxfId="8">
      <extLst>
        <ext xmlns:xlmsforms="http://schemas.microsoft.com/office/spreadsheetml/2023/msForms" uri="{FCC71383-01E1-4257-9335-427F07BE8D7F}">
          <xlmsforms:question id="responder"/>
        </ext>
      </extLst>
    </tableColumn>
    <tableColumn id="6" xr3:uid="{00000000-0010-0000-0000-000006000000}" name="How would you rate our customer satisfaction today?_x000a_" totalsRowFunction="average" dataDxfId="24" totalsRowDxfId="7">
      <extLst>
        <ext xmlns:xlmsforms="http://schemas.microsoft.com/office/spreadsheetml/2023/msForms" uri="{FCC71383-01E1-4257-9335-427F07BE8D7F}">
          <xlmsforms:question id="r4837eb8a68b7477497fb75eab1f49132"/>
        </ext>
      </extLst>
    </tableColumn>
    <tableColumn id="7" xr3:uid="{00000000-0010-0000-0000-000007000000}" name="How likely are you to recommend us to a friend/family member?" totalsRowFunction="average" dataDxfId="23" totalsRowDxfId="6">
      <extLst>
        <ext xmlns:xlmsforms="http://schemas.microsoft.com/office/spreadsheetml/2023/msForms" uri="{FCC71383-01E1-4257-9335-427F07BE8D7F}">
          <xlmsforms:question id="r0693b6faa5c7456fae347015743bbb6f"/>
        </ext>
      </extLst>
    </tableColumn>
    <tableColumn id="8" xr3:uid="{00000000-0010-0000-0000-000008000000}" name="Which coffee style was your favorite?" dataDxfId="22" totalsRowDxfId="5">
      <extLst>
        <ext xmlns:xlmsforms="http://schemas.microsoft.com/office/spreadsheetml/2023/msForms" uri="{FCC71383-01E1-4257-9335-427F07BE8D7F}">
          <xlmsforms:question id="r89742d3afb9c4d19a9134f1a58dfe81a"/>
        </ext>
      </extLst>
    </tableColumn>
    <tableColumn id="9" xr3:uid="{00000000-0010-0000-0000-000009000000}" name="How would you rate our cleanliness/layout?" totalsRowFunction="average" dataDxfId="21" totalsRowDxfId="4">
      <extLst>
        <ext xmlns:xlmsforms="http://schemas.microsoft.com/office/spreadsheetml/2023/msForms" uri="{FCC71383-01E1-4257-9335-427F07BE8D7F}">
          <xlmsforms:question id="r860dffcfc33c4b50a75b480c59d35a38"/>
        </ext>
      </extLst>
    </tableColumn>
    <tableColumn id="10" xr3:uid="{00000000-0010-0000-0000-00000A000000}" name="Would you join our loyalty program for points if we made one?" dataDxfId="20" totalsRowDxfId="3">
      <extLst>
        <ext xmlns:xlmsforms="http://schemas.microsoft.com/office/spreadsheetml/2023/msForms" uri="{FCC71383-01E1-4257-9335-427F07BE8D7F}">
          <xlmsforms:question id="r34a33d1f97364210988adbbd8aca39b5"/>
        </ext>
      </extLst>
    </tableColumn>
    <tableColumn id="11" xr3:uid="{00000000-0010-0000-0000-00000B000000}" name="What can we do to have you visit more often? (select all that apply)" dataDxfId="19" totalsRowDxfId="2">
      <extLst>
        <ext xmlns:xlmsforms="http://schemas.microsoft.com/office/spreadsheetml/2023/msForms" uri="{FCC71383-01E1-4257-9335-427F07BE8D7F}">
          <xlmsforms:question id="r5330e22b8f964ca18b65d6316a0a8a05"/>
        </ext>
      </extLst>
    </tableColumn>
    <tableColumn id="12" xr3:uid="{00000000-0010-0000-0000-00000C000000}" name="What did you enjoy MOST about visiting us today?" dataDxfId="18" totalsRowDxfId="1">
      <extLst>
        <ext xmlns:xlmsforms="http://schemas.microsoft.com/office/spreadsheetml/2023/msForms" uri="{FCC71383-01E1-4257-9335-427F07BE8D7F}">
          <xlmsforms:question id="ra702f823a5964c359ef2211837a42724"/>
        </ext>
      </extLst>
    </tableColumn>
    <tableColumn id="13" xr3:uid="{00000000-0010-0000-0000-00000D000000}" name="Any additional comments you may have?" dataDxfId="17" totalsRowDxfId="0">
      <extLst>
        <ext xmlns:xlmsforms="http://schemas.microsoft.com/office/spreadsheetml/2023/msForms" uri="{FCC71383-01E1-4257-9335-427F07BE8D7F}">
          <xlmsforms:question id="rda4979e0c3544abd9a25be792f056914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27j2rS0ACtBj-TQYaF4MepUOERJTTVHMEgxVlk2N05TSFVRVDlSRTlTVy4u" isFormConnected="1" maxResponseId="9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r4837eb8a68b7477497fb75eab1f49132</xlmsforms:syncedQuestionId>
        <xlmsforms:syncedQuestionId>r0693b6faa5c7456fae347015743bbb6f</xlmsforms:syncedQuestionId>
        <xlmsforms:syncedQuestionId>r89742d3afb9c4d19a9134f1a58dfe81a</xlmsforms:syncedQuestionId>
        <xlmsforms:syncedQuestionId>r860dffcfc33c4b50a75b480c59d35a38</xlmsforms:syncedQuestionId>
        <xlmsforms:syncedQuestionId>r34a33d1f97364210988adbbd8aca39b5</xlmsforms:syncedQuestionId>
        <xlmsforms:syncedQuestionId>r5330e22b8f964ca18b65d6316a0a8a05</xlmsforms:syncedQuestionId>
        <xlmsforms:syncedQuestionId>ra702f823a5964c359ef2211837a42724</xlmsforms:syncedQuestionId>
        <xlmsforms:syncedQuestionId>rda4979e0c3544abd9a25be792f056914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topLeftCell="I1" workbookViewId="0">
      <selection activeCell="J14" sqref="J14"/>
    </sheetView>
  </sheetViews>
  <sheetFormatPr defaultRowHeight="15" x14ac:dyDescent="0.25"/>
  <cols>
    <col min="1" max="1" width="6.42578125" customWidth="1"/>
    <col min="2" max="3" width="20" bestFit="1" customWidth="1"/>
    <col min="4" max="4" width="20" customWidth="1"/>
    <col min="5" max="5" width="20" bestFit="1" customWidth="1"/>
    <col min="6" max="6" width="51.85546875" customWidth="1"/>
    <col min="7" max="7" width="61.7109375" customWidth="1"/>
    <col min="8" max="8" width="37.42578125" customWidth="1"/>
    <col min="9" max="9" width="44.140625" customWidth="1"/>
    <col min="10" max="10" width="60.85546875" customWidth="1"/>
    <col min="11" max="11" width="90.42578125" customWidth="1"/>
    <col min="12" max="12" width="106.85546875" customWidth="1"/>
    <col min="13" max="13" width="58.140625" customWidth="1"/>
  </cols>
  <sheetData>
    <row r="1" spans="1:13" x14ac:dyDescent="0.25">
      <c r="A1" t="s">
        <v>0</v>
      </c>
      <c r="B1" s="1" t="s">
        <v>1</v>
      </c>
      <c r="C1" t="s">
        <v>2</v>
      </c>
      <c r="D1" s="1" t="s">
        <v>43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>
        <v>1</v>
      </c>
      <c r="B2" s="2">
        <v>46120.767442129632</v>
      </c>
      <c r="C2" s="2">
        <v>46120.767893518518</v>
      </c>
      <c r="D2" s="3">
        <f t="shared" ref="D2:D10" si="0">C2-B2</f>
        <v>4.5138888526707888E-4</v>
      </c>
      <c r="E2" t="s">
        <v>12</v>
      </c>
      <c r="F2">
        <v>5</v>
      </c>
      <c r="G2">
        <v>10</v>
      </c>
      <c r="H2" t="s">
        <v>13</v>
      </c>
      <c r="I2">
        <v>5</v>
      </c>
      <c r="J2" t="s">
        <v>14</v>
      </c>
      <c r="K2" t="s">
        <v>15</v>
      </c>
      <c r="L2" t="s">
        <v>16</v>
      </c>
    </row>
    <row r="3" spans="1:13" x14ac:dyDescent="0.25">
      <c r="A3">
        <v>2</v>
      </c>
      <c r="B3" s="2">
        <v>46120.797037037039</v>
      </c>
      <c r="C3" s="2">
        <v>46120.798344907409</v>
      </c>
      <c r="D3" s="3">
        <f t="shared" si="0"/>
        <v>1.3078703705104999E-3</v>
      </c>
      <c r="E3" t="s">
        <v>12</v>
      </c>
      <c r="F3">
        <v>2</v>
      </c>
      <c r="G3">
        <v>8</v>
      </c>
      <c r="H3" t="s">
        <v>13</v>
      </c>
      <c r="I3">
        <v>5</v>
      </c>
      <c r="J3" t="s">
        <v>14</v>
      </c>
      <c r="K3" t="s">
        <v>17</v>
      </c>
      <c r="L3" t="s">
        <v>18</v>
      </c>
      <c r="M3" t="s">
        <v>19</v>
      </c>
    </row>
    <row r="4" spans="1:13" x14ac:dyDescent="0.25">
      <c r="A4">
        <v>3</v>
      </c>
      <c r="B4" s="2">
        <v>46120.91511574074</v>
      </c>
      <c r="C4" s="2">
        <v>46120.915891203702</v>
      </c>
      <c r="D4" s="3">
        <f t="shared" si="0"/>
        <v>7.7546296233776957E-4</v>
      </c>
      <c r="E4" t="s">
        <v>12</v>
      </c>
      <c r="F4">
        <v>5</v>
      </c>
      <c r="G4">
        <v>8</v>
      </c>
      <c r="H4" t="s">
        <v>13</v>
      </c>
      <c r="I4">
        <v>5</v>
      </c>
      <c r="J4" t="s">
        <v>14</v>
      </c>
      <c r="K4" t="s">
        <v>20</v>
      </c>
      <c r="L4" t="s">
        <v>21</v>
      </c>
    </row>
    <row r="5" spans="1:13" x14ac:dyDescent="0.25">
      <c r="A5">
        <v>4</v>
      </c>
      <c r="B5" s="2">
        <v>46120.921851851854</v>
      </c>
      <c r="C5" s="2">
        <v>46120.92459490741</v>
      </c>
      <c r="D5" s="3">
        <f t="shared" si="0"/>
        <v>2.7430555564933456E-3</v>
      </c>
      <c r="E5" t="s">
        <v>12</v>
      </c>
      <c r="F5">
        <v>5</v>
      </c>
      <c r="G5">
        <v>9</v>
      </c>
      <c r="H5" t="s">
        <v>22</v>
      </c>
      <c r="I5">
        <v>5</v>
      </c>
      <c r="J5" t="s">
        <v>14</v>
      </c>
      <c r="K5" t="s">
        <v>23</v>
      </c>
      <c r="L5" t="s">
        <v>24</v>
      </c>
      <c r="M5" t="s">
        <v>25</v>
      </c>
    </row>
    <row r="6" spans="1:13" x14ac:dyDescent="0.25">
      <c r="A6">
        <v>5</v>
      </c>
      <c r="B6" s="2">
        <v>46120.954780092594</v>
      </c>
      <c r="C6" s="2">
        <v>46120.95685185185</v>
      </c>
      <c r="D6" s="3">
        <f t="shared" si="0"/>
        <v>2.0717592560686171E-3</v>
      </c>
      <c r="E6" t="s">
        <v>12</v>
      </c>
      <c r="F6">
        <v>5</v>
      </c>
      <c r="G6">
        <v>9</v>
      </c>
      <c r="H6" t="s">
        <v>13</v>
      </c>
      <c r="I6">
        <v>5</v>
      </c>
      <c r="J6" t="s">
        <v>14</v>
      </c>
      <c r="K6" t="s">
        <v>26</v>
      </c>
      <c r="L6" t="s">
        <v>27</v>
      </c>
      <c r="M6" t="s">
        <v>28</v>
      </c>
    </row>
    <row r="7" spans="1:13" x14ac:dyDescent="0.25">
      <c r="A7">
        <v>6</v>
      </c>
      <c r="B7" s="2">
        <v>46121.404398148145</v>
      </c>
      <c r="C7" s="2">
        <v>46121.406087962961</v>
      </c>
      <c r="D7" s="3">
        <f t="shared" si="0"/>
        <v>1.6898148169275373E-3</v>
      </c>
      <c r="E7" t="s">
        <v>12</v>
      </c>
      <c r="F7">
        <v>4</v>
      </c>
      <c r="G7">
        <v>8</v>
      </c>
      <c r="H7" t="s">
        <v>22</v>
      </c>
      <c r="I7">
        <v>5</v>
      </c>
      <c r="J7" t="s">
        <v>29</v>
      </c>
      <c r="K7" t="s">
        <v>20</v>
      </c>
      <c r="L7" t="s">
        <v>30</v>
      </c>
    </row>
    <row r="8" spans="1:13" x14ac:dyDescent="0.25">
      <c r="A8">
        <v>7</v>
      </c>
      <c r="B8" s="2">
        <v>46121.450706018521</v>
      </c>
      <c r="C8" s="2">
        <v>46121.452581018515</v>
      </c>
      <c r="D8" s="3">
        <f t="shared" si="0"/>
        <v>1.8749999944702722E-3</v>
      </c>
      <c r="E8" t="s">
        <v>12</v>
      </c>
      <c r="F8">
        <v>4</v>
      </c>
      <c r="G8">
        <v>9</v>
      </c>
      <c r="H8" t="s">
        <v>31</v>
      </c>
      <c r="I8">
        <v>5</v>
      </c>
      <c r="J8" t="s">
        <v>14</v>
      </c>
      <c r="K8" t="s">
        <v>32</v>
      </c>
      <c r="L8" t="s">
        <v>33</v>
      </c>
      <c r="M8" t="s">
        <v>34</v>
      </c>
    </row>
    <row r="9" spans="1:13" x14ac:dyDescent="0.25">
      <c r="A9">
        <v>8</v>
      </c>
      <c r="B9" s="2">
        <v>46121.454074074078</v>
      </c>
      <c r="C9" s="2">
        <v>46121.455023148148</v>
      </c>
      <c r="D9" s="3">
        <f t="shared" si="0"/>
        <v>9.4907407037680969E-4</v>
      </c>
      <c r="E9" t="s">
        <v>12</v>
      </c>
      <c r="F9">
        <v>5</v>
      </c>
      <c r="G9">
        <v>10</v>
      </c>
      <c r="H9" t="s">
        <v>35</v>
      </c>
      <c r="I9">
        <v>4</v>
      </c>
      <c r="J9" t="s">
        <v>14</v>
      </c>
      <c r="K9" t="s">
        <v>36</v>
      </c>
      <c r="L9" t="s">
        <v>37</v>
      </c>
      <c r="M9" t="s">
        <v>38</v>
      </c>
    </row>
    <row r="10" spans="1:13" x14ac:dyDescent="0.25">
      <c r="A10">
        <v>9</v>
      </c>
      <c r="B10" s="2">
        <v>46122.048437500001</v>
      </c>
      <c r="C10" s="2">
        <v>46122.049143518518</v>
      </c>
      <c r="D10" s="3">
        <f t="shared" si="0"/>
        <v>7.0601851621177047E-4</v>
      </c>
      <c r="E10" t="s">
        <v>12</v>
      </c>
      <c r="F10">
        <v>5</v>
      </c>
      <c r="G10">
        <v>10</v>
      </c>
      <c r="H10" t="s">
        <v>39</v>
      </c>
      <c r="I10">
        <v>5</v>
      </c>
      <c r="J10" t="s">
        <v>14</v>
      </c>
      <c r="K10" t="s">
        <v>40</v>
      </c>
      <c r="L10" t="s">
        <v>41</v>
      </c>
      <c r="M10" t="s">
        <v>42</v>
      </c>
    </row>
    <row r="11" spans="1:13" x14ac:dyDescent="0.25">
      <c r="A11" s="1"/>
      <c r="B11" s="2"/>
      <c r="C11" s="2"/>
      <c r="D11" s="3">
        <f>AVERAGE(OfficeForms.Table[Time Taken])</f>
        <v>1.396604936518189E-3</v>
      </c>
      <c r="E11" s="4"/>
      <c r="F11" s="5">
        <f>SUBTOTAL(101,OfficeForms.Table[How would you rate our customer satisfaction today?
])</f>
        <v>4.4444444444444446</v>
      </c>
      <c r="G11" s="1">
        <f>SUBTOTAL(101,OfficeForms.Table[How likely are you to recommend us to a friend/family member?])</f>
        <v>9</v>
      </c>
      <c r="H11" s="4"/>
      <c r="I11" s="5">
        <f>SUBTOTAL(101,OfficeForms.Table[How would you rate our cleanliness/layout?])</f>
        <v>4.8888888888888893</v>
      </c>
      <c r="J11" s="6"/>
      <c r="K11" s="4"/>
      <c r="L11" s="4"/>
      <c r="M11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C62F1-C13A-4F0F-85AD-3937BFF90E15}">
  <dimension ref="A1:B7"/>
  <sheetViews>
    <sheetView workbookViewId="0">
      <selection activeCell="O15" sqref="O15"/>
    </sheetView>
  </sheetViews>
  <sheetFormatPr defaultRowHeight="15" x14ac:dyDescent="0.25"/>
  <cols>
    <col min="1" max="1" width="13.140625" bestFit="1" customWidth="1"/>
    <col min="2" max="2" width="9.42578125" bestFit="1" customWidth="1"/>
  </cols>
  <sheetData>
    <row r="1" spans="1:2" x14ac:dyDescent="0.25">
      <c r="A1" s="7" t="s">
        <v>45</v>
      </c>
      <c r="B1" t="s">
        <v>44</v>
      </c>
    </row>
    <row r="2" spans="1:2" x14ac:dyDescent="0.25">
      <c r="A2" s="8" t="s">
        <v>13</v>
      </c>
      <c r="B2" s="1">
        <v>11</v>
      </c>
    </row>
    <row r="3" spans="1:2" x14ac:dyDescent="0.25">
      <c r="A3" s="8" t="s">
        <v>31</v>
      </c>
      <c r="B3" s="1">
        <v>7</v>
      </c>
    </row>
    <row r="4" spans="1:2" x14ac:dyDescent="0.25">
      <c r="A4" s="8" t="s">
        <v>39</v>
      </c>
      <c r="B4" s="1">
        <v>9</v>
      </c>
    </row>
    <row r="5" spans="1:2" x14ac:dyDescent="0.25">
      <c r="A5" s="8" t="s">
        <v>22</v>
      </c>
      <c r="B5" s="1">
        <v>10</v>
      </c>
    </row>
    <row r="6" spans="1:2" x14ac:dyDescent="0.25">
      <c r="A6" s="8" t="s">
        <v>35</v>
      </c>
      <c r="B6" s="1">
        <v>8</v>
      </c>
    </row>
    <row r="7" spans="1:2" x14ac:dyDescent="0.25">
      <c r="A7" s="8" t="s">
        <v>46</v>
      </c>
      <c r="B7" s="1">
        <v>45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A6EC1-933F-4584-85F0-3451C7D25241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Survey_Data</vt:lpstr>
      <vt:lpstr>Survey_Charts</vt:lpstr>
      <vt:lpstr>Survey_Summary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Jonathan Lopez</cp:lastModifiedBy>
  <cp:revision/>
  <dcterms:created xsi:type="dcterms:W3CDTF">2026-04-10T17:18:41Z</dcterms:created>
  <dcterms:modified xsi:type="dcterms:W3CDTF">2026-04-10T19:45:13Z</dcterms:modified>
  <cp:category/>
  <cp:contentStatus/>
</cp:coreProperties>
</file>