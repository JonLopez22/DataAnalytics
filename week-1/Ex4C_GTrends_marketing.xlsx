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Analytics\week-1\"/>
    </mc:Choice>
  </mc:AlternateContent>
  <xr:revisionPtr revIDLastSave="0" documentId="13_ncr:1_{56FAE980-57AE-4A01-A24E-BED94271DA2C}" xr6:coauthVersionLast="47" xr6:coauthVersionMax="47" xr10:uidLastSave="{00000000-0000-0000-0000-000000000000}"/>
  <bookViews>
    <workbookView xWindow="-30828" yWindow="3960" windowWidth="30936" windowHeight="16776" activeTab="2" xr2:uid="{D5B6ADBA-CB6F-41C8-B3A4-C3FA1E839BB4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2" i="3"/>
  <c r="C3" i="3"/>
  <c r="C4" i="3"/>
  <c r="C5" i="3"/>
  <c r="C6" i="3"/>
  <c r="C7" i="3"/>
  <c r="C8" i="3"/>
  <c r="C9" i="3"/>
  <c r="C10" i="3"/>
  <c r="C2" i="3"/>
  <c r="H1" i="1"/>
</calcChain>
</file>

<file path=xl/sharedStrings.xml><?xml version="1.0" encoding="utf-8"?>
<sst xmlns="http://schemas.openxmlformats.org/spreadsheetml/2006/main" count="151" uniqueCount="68">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</sst>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" fillId="11" borderId="0" xfId="20"/>
    <xf numFmtId="0" fontId="13" fillId="7" borderId="7" xfId="13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Lookup'!$A$16:$A$25</c:f>
              <c:strCache>
                <c:ptCount val="9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</c:strCache>
            </c:strRef>
          </c:cat>
          <c:val>
            <c:numRef>
              <c:f>'Sales Region Lookup'!$B$16:$B$25</c:f>
              <c:numCache>
                <c:formatCode>0%</c:formatCode>
                <c:ptCount val="9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6-4A1D-BF45-2EC02C667025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Lookup'!$A$16:$A$25</c:f>
              <c:strCache>
                <c:ptCount val="9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</c:strCache>
            </c:strRef>
          </c:cat>
          <c:val>
            <c:numRef>
              <c:f>'Sales Region Lookup'!$C$16:$C$25</c:f>
              <c:numCache>
                <c:formatCode>0%</c:formatCode>
                <c:ptCount val="9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06-4A1D-BF45-2EC02C667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325680"/>
        <c:axId val="1318326640"/>
      </c:barChart>
      <c:catAx>
        <c:axId val="13183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26640"/>
        <c:crosses val="autoZero"/>
        <c:auto val="1"/>
        <c:lblAlgn val="ctr"/>
        <c:lblOffset val="100"/>
        <c:noMultiLvlLbl val="0"/>
      </c:catAx>
      <c:valAx>
        <c:axId val="131832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217169</xdr:colOff>
      <xdr:row>0</xdr:row>
      <xdr:rowOff>83819</xdr:rowOff>
    </xdr:from>
    <xdr:to>
      <xdr:col>23</xdr:col>
      <xdr:colOff>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ABA9F-EFA6-2D61-A276-5BFF4BC0C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2.084546064812" createdVersion="8" refreshedVersion="8" minRefreshableVersion="3" recordCount="9" xr:uid="{AEDD71C1-CC57-49F0-BCCF-616F1C1AF703}">
  <cacheSource type="worksheet">
    <worksheetSource ref="A1:D10" sheet="Sales Region Lookup"/>
  </cacheSource>
  <cacheFields count="4">
    <cacheField name="State" numFmtId="0">
      <sharedItems count="9">
        <s v="Washington"/>
        <s v="Oregon"/>
        <s v="Idaho"/>
        <s v="Montana"/>
        <s v="North Dakota"/>
        <s v="South Dakota"/>
        <s v="Nebraska"/>
        <s v="Minnesota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0.68"/>
    <n v="0.18"/>
  </r>
  <r>
    <x v="1"/>
    <x v="0"/>
    <n v="0.68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6"/>
    <n v="0.2"/>
  </r>
  <r>
    <x v="8"/>
    <x v="1"/>
    <n v="0.69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5CDE5-38E0-455E-90CD-7F5056D3473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5" firstHeaderRow="0" firstDataRow="1" firstDataCol="1" rowPageCount="1" colPageCount="1"/>
  <pivotFields count="4">
    <pivotField axis="axisRow" showAll="0">
      <items count="10">
        <item x="2"/>
        <item x="8"/>
        <item x="7"/>
        <item x="3"/>
        <item x="6"/>
        <item x="4"/>
        <item x="1"/>
        <item x="5"/>
        <item x="0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3E50-B1D1-4845-9C16-98BF067B5CC1}">
  <dimension ref="A1:K52"/>
  <sheetViews>
    <sheetView workbookViewId="0">
      <pane ySplit="1" topLeftCell="A22" activePane="bottomLeft" state="frozen"/>
      <selection pane="bottomLeft" activeCell="B24" activeCellId="5" sqref="B36 B43 B29 B25 B51 B24"/>
    </sheetView>
  </sheetViews>
  <sheetFormatPr defaultRowHeight="15" x14ac:dyDescent="0.25"/>
  <cols>
    <col min="1" max="1" width="10.7109375" customWidth="1"/>
    <col min="2" max="2" width="17.140625" customWidth="1"/>
    <col min="3" max="3" width="14" customWidth="1"/>
    <col min="4" max="4" width="12.5703125" customWidth="1"/>
    <col min="5" max="5" width="11.5703125" customWidth="1"/>
    <col min="7" max="7" width="10.5703125" customWidth="1"/>
    <col min="10" max="10" width="18.28515625" customWidth="1"/>
    <col min="11" max="11" width="15.7109375" customWidth="1"/>
  </cols>
  <sheetData>
    <row r="1" spans="1:11" ht="16.5" thickTop="1" thickBot="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ht="15.75" thickTop="1" x14ac:dyDescent="0.2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1" x14ac:dyDescent="0.25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1" x14ac:dyDescent="0.25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1" x14ac:dyDescent="0.25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1" x14ac:dyDescent="0.25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1" x14ac:dyDescent="0.2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25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1" x14ac:dyDescent="0.25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25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25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2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2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2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25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2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25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25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25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25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25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25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25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25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25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725F-B414-436C-B17F-575D33830C75}">
  <dimension ref="A1:AZ4"/>
  <sheetViews>
    <sheetView workbookViewId="0">
      <pane xSplit="16" ySplit="20" topLeftCell="Q21" activePane="bottomRight" state="frozen"/>
      <selection pane="topRight" activeCell="Q1" sqref="Q1"/>
      <selection pane="bottomLeft" activeCell="A21" sqref="A21"/>
      <selection pane="bottomRight" activeCell="L9" sqref="L9"/>
    </sheetView>
  </sheetViews>
  <sheetFormatPr defaultRowHeight="15" x14ac:dyDescent="0.25"/>
  <cols>
    <col min="2" max="2" width="12" customWidth="1"/>
    <col min="10" max="10" width="19.5703125" customWidth="1"/>
    <col min="23" max="23" width="13.28515625" customWidth="1"/>
    <col min="25" max="25" width="11.42578125" customWidth="1"/>
    <col min="26" max="26" width="11.28515625" customWidth="1"/>
    <col min="31" max="31" width="15.140625" customWidth="1"/>
    <col min="32" max="32" width="12.5703125" customWidth="1"/>
    <col min="33" max="33" width="13" customWidth="1"/>
    <col min="35" max="35" width="13.42578125" customWidth="1"/>
    <col min="36" max="36" width="12.7109375" customWidth="1"/>
    <col min="40" max="40" width="14.85546875" customWidth="1"/>
    <col min="41" max="41" width="14.5703125" customWidth="1"/>
    <col min="42" max="42" width="15.7109375" customWidth="1"/>
    <col min="43" max="43" width="13.28515625" customWidth="1"/>
    <col min="44" max="44" width="14" customWidth="1"/>
    <col min="49" max="49" width="11.7109375" customWidth="1"/>
    <col min="50" max="50" width="12.85546875" customWidth="1"/>
    <col min="51" max="51" width="10.85546875" customWidth="1"/>
  </cols>
  <sheetData>
    <row r="1" spans="1:52" x14ac:dyDescent="0.25">
      <c r="A1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25">
      <c r="A2" t="s">
        <v>56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25">
      <c r="A3" t="s">
        <v>57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25">
      <c r="A4" t="s">
        <v>58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7790-EEA1-46D5-930D-9B3EAD3BF74B}">
  <dimension ref="A1:D25"/>
  <sheetViews>
    <sheetView tabSelected="1" workbookViewId="0">
      <selection activeCell="F15" sqref="F15"/>
    </sheetView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  <col min="4" max="4" width="10.5703125" customWidth="1"/>
  </cols>
  <sheetData>
    <row r="1" spans="1:4" x14ac:dyDescent="0.25">
      <c r="A1" t="s">
        <v>59</v>
      </c>
      <c r="B1" t="s">
        <v>60</v>
      </c>
      <c r="C1" t="s">
        <v>56</v>
      </c>
      <c r="D1" t="s">
        <v>57</v>
      </c>
    </row>
    <row r="2" spans="1:4" x14ac:dyDescent="0.25">
      <c r="A2" t="s">
        <v>41</v>
      </c>
      <c r="B2" t="s">
        <v>61</v>
      </c>
      <c r="C2" s="4">
        <f>VLOOKUP('Sales Region Lookup'!A2, 'By Search Term'!B:C, 2, FALSE)</f>
        <v>0.68</v>
      </c>
      <c r="D2" s="4">
        <f>_xlfn.XLOOKUP(A2, 'By Search Term'!B1:B52, 'By Search Term'!D1:D52, "not found")</f>
        <v>0.18</v>
      </c>
    </row>
    <row r="3" spans="1:4" x14ac:dyDescent="0.25">
      <c r="A3" t="s">
        <v>34</v>
      </c>
      <c r="B3" t="s">
        <v>61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x14ac:dyDescent="0.25">
      <c r="A4" t="s">
        <v>30</v>
      </c>
      <c r="B4" t="s">
        <v>61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x14ac:dyDescent="0.25">
      <c r="A5" t="s">
        <v>49</v>
      </c>
      <c r="B5" t="s">
        <v>61</v>
      </c>
      <c r="C5" s="4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25">
      <c r="A6" t="s">
        <v>35</v>
      </c>
      <c r="B6" t="s">
        <v>62</v>
      </c>
      <c r="C6" s="4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x14ac:dyDescent="0.25">
      <c r="A7" t="s">
        <v>44</v>
      </c>
      <c r="B7" t="s">
        <v>62</v>
      </c>
      <c r="C7" s="4">
        <f>VLOOKUP('Sales Region Lookup'!A7, 'By Search Term'!B:C, 2, FALSE)</f>
        <v>0.75</v>
      </c>
      <c r="D7" s="4">
        <f>_xlfn.XLOOKUP(A7, 'By Search Term'!B6:B57, 'By Search Term'!D6:D57, "not found")</f>
        <v>0.14000000000000001</v>
      </c>
    </row>
    <row r="8" spans="1:4" x14ac:dyDescent="0.25">
      <c r="A8" t="s">
        <v>36</v>
      </c>
      <c r="B8" t="s">
        <v>62</v>
      </c>
      <c r="C8" s="4">
        <f>VLOOKUP('Sales Region Lookup'!A8, 'By Search Term'!B:C, 2, FALSE)</f>
        <v>0.69</v>
      </c>
      <c r="D8" s="4">
        <f>_xlfn.XLOOKUP(A8, 'By Search Term'!B7:B58, 'By Search Term'!D7:D58, "not found")</f>
        <v>0.18</v>
      </c>
    </row>
    <row r="9" spans="1:4" x14ac:dyDescent="0.25">
      <c r="A9" t="s">
        <v>25</v>
      </c>
      <c r="B9" t="s">
        <v>62</v>
      </c>
      <c r="C9" s="4">
        <f>VLOOKUP('Sales Region Lookup'!A9, 'By Search Term'!B:C, 2, FALSE)</f>
        <v>0.66</v>
      </c>
      <c r="D9" s="4">
        <f>_xlfn.XLOOKUP(A9, 'By Search Term'!B8:B59, 'By Search Term'!D8:D59, "not found")</f>
        <v>0.2</v>
      </c>
    </row>
    <row r="10" spans="1:4" x14ac:dyDescent="0.25">
      <c r="A10" t="s">
        <v>24</v>
      </c>
      <c r="B10" t="s">
        <v>62</v>
      </c>
      <c r="C10" s="4">
        <f>VLOOKUP('Sales Region Lookup'!A10, 'By Search Term'!B:C, 2, FALSE)</f>
        <v>0.69</v>
      </c>
      <c r="D10" s="4">
        <f>_xlfn.XLOOKUP(A10, 'By Search Term'!B9:B60, 'By Search Term'!D9:D60, "not found")</f>
        <v>0.19</v>
      </c>
    </row>
    <row r="13" spans="1:4" x14ac:dyDescent="0.25">
      <c r="A13" s="5" t="s">
        <v>60</v>
      </c>
      <c r="B13" t="s">
        <v>67</v>
      </c>
    </row>
    <row r="15" spans="1:4" x14ac:dyDescent="0.25">
      <c r="A15" s="5" t="s">
        <v>63</v>
      </c>
      <c r="B15" t="s">
        <v>65</v>
      </c>
      <c r="C15" t="s">
        <v>66</v>
      </c>
    </row>
    <row r="16" spans="1:4" x14ac:dyDescent="0.25">
      <c r="A16" s="6" t="s">
        <v>30</v>
      </c>
      <c r="B16" s="1">
        <v>0.67</v>
      </c>
      <c r="C16" s="1">
        <v>0.19</v>
      </c>
    </row>
    <row r="17" spans="1:3" x14ac:dyDescent="0.25">
      <c r="A17" s="6" t="s">
        <v>24</v>
      </c>
      <c r="B17" s="1">
        <v>0.69</v>
      </c>
      <c r="C17" s="1">
        <v>0.19</v>
      </c>
    </row>
    <row r="18" spans="1:3" x14ac:dyDescent="0.25">
      <c r="A18" s="6" t="s">
        <v>25</v>
      </c>
      <c r="B18" s="1">
        <v>0.66</v>
      </c>
      <c r="C18" s="1">
        <v>0.2</v>
      </c>
    </row>
    <row r="19" spans="1:3" x14ac:dyDescent="0.25">
      <c r="A19" s="6" t="s">
        <v>49</v>
      </c>
      <c r="B19" s="1">
        <v>0.75</v>
      </c>
      <c r="C19" s="1">
        <v>0.14000000000000001</v>
      </c>
    </row>
    <row r="20" spans="1:3" x14ac:dyDescent="0.25">
      <c r="A20" s="6" t="s">
        <v>36</v>
      </c>
      <c r="B20" s="1">
        <v>0.69</v>
      </c>
      <c r="C20" s="1">
        <v>0.18</v>
      </c>
    </row>
    <row r="21" spans="1:3" x14ac:dyDescent="0.25">
      <c r="A21" s="6" t="s">
        <v>35</v>
      </c>
      <c r="B21" s="1">
        <v>0.69</v>
      </c>
      <c r="C21" s="1">
        <v>0.19</v>
      </c>
    </row>
    <row r="22" spans="1:3" x14ac:dyDescent="0.25">
      <c r="A22" s="6" t="s">
        <v>34</v>
      </c>
      <c r="B22" s="1">
        <v>0.68</v>
      </c>
      <c r="C22" s="1">
        <v>0.18</v>
      </c>
    </row>
    <row r="23" spans="1:3" x14ac:dyDescent="0.25">
      <c r="A23" s="6" t="s">
        <v>44</v>
      </c>
      <c r="B23" s="1">
        <v>0.75</v>
      </c>
      <c r="C23" s="1">
        <v>0.14000000000000001</v>
      </c>
    </row>
    <row r="24" spans="1:3" x14ac:dyDescent="0.25">
      <c r="A24" s="6" t="s">
        <v>41</v>
      </c>
      <c r="B24" s="1">
        <v>0.68</v>
      </c>
      <c r="C24" s="1">
        <v>0.18</v>
      </c>
    </row>
    <row r="25" spans="1:3" x14ac:dyDescent="0.25">
      <c r="A25" s="6" t="s">
        <v>64</v>
      </c>
      <c r="B25" s="1">
        <v>6.26</v>
      </c>
      <c r="C25" s="1">
        <v>1.59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Jonathan Lopez</cp:lastModifiedBy>
  <dcterms:created xsi:type="dcterms:W3CDTF">2026-04-09T03:34:22Z</dcterms:created>
  <dcterms:modified xsi:type="dcterms:W3CDTF">2026-04-10T06:07:44Z</dcterms:modified>
</cp:coreProperties>
</file>