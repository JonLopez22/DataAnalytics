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cuments\DataAnalytics\week-1\"/>
    </mc:Choice>
  </mc:AlternateContent>
  <xr:revisionPtr revIDLastSave="0" documentId="8_{55DC50D9-29F9-4AA5-8812-F5847381E619}" xr6:coauthVersionLast="47" xr6:coauthVersionMax="47" xr10:uidLastSave="{00000000-0000-0000-0000-000000000000}"/>
  <bookViews>
    <workbookView xWindow="-30828" yWindow="3960" windowWidth="30936" windowHeight="16776" activeTab="1" xr2:uid="{00000000-000D-0000-FFFF-FFFF00000000}"/>
  </bookViews>
  <sheets>
    <sheet name="Sales_Data" sheetId="1" r:id="rId1"/>
    <sheet name="Exercise" sheetId="2" r:id="rId2"/>
  </sheets>
  <definedNames>
    <definedName name="_xlnm._FilterDatabase" localSheetId="0" hidden="1">Sales_Data!$A$1:$H$22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 r="A31" i="1"/>
  <c r="C27" i="1"/>
  <c r="C26" i="1"/>
  <c r="C25" i="1"/>
  <c r="C24" i="1"/>
  <c r="G39" i="1"/>
  <c r="G37" i="1"/>
  <c r="G38" i="1"/>
  <c r="G31" i="1"/>
  <c r="G34" i="1"/>
  <c r="G33" i="1"/>
  <c r="G32" i="1"/>
  <c r="H29" i="1"/>
  <c r="G28" i="1"/>
  <c r="G27" i="1"/>
  <c r="G26" i="1"/>
  <c r="G25" i="1"/>
  <c r="G24" i="1"/>
  <c r="G22" i="1"/>
</calcChain>
</file>

<file path=xl/sharedStrings.xml><?xml version="1.0" encoding="utf-8"?>
<sst xmlns="http://schemas.openxmlformats.org/spreadsheetml/2006/main" count="137" uniqueCount="84">
  <si>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</si>
  <si>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</si>
  <si>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</si>
  <si>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</si>
  <si>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</si>
  <si>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</si>
  <si>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</si>
  <si>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</si>
  <si>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</si>
  <si>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</si>
  <si>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</si>
  <si>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</si>
  <si>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</si>
  <si>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</si>
  <si>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</si>
  <si>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</si>
  <si>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</si>
  <si>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</si>
  <si>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</si>
  <si>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</si>
  <si>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</si>
  <si>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</si>
  <si>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</si>
  <si>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</si>
  <si>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</si>
  <si>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</si>
  <si>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</si>
  <si>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</si>
  <si>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</si>
  <si>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</si>
  <si>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</si>
  <si>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</si>
  <si>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</si>
  <si>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</si>
  <si>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</si>
  <si>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</si>
  <si>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</si>
  <si>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</si>
  <si>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</si>
  <si>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</si>
  <si>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</si>
  <si>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</si>
  <si>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</si>
  <si>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</si>
  <si>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</si>
  <si>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</si>
  <si>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</si>
  <si>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</si>
  <si>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</si>
  <si>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</si>
  <si>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</si>
  <si>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</si>
  <si>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</si>
  <si>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</si>
  <si>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</si>
  <si>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</si>
  <si>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</si>
  <si>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</si>
  <si>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Average</t>
  </si>
  <si>
    <t>Median</t>
  </si>
  <si>
    <t>Minimum</t>
  </si>
  <si>
    <t>Max</t>
  </si>
  <si>
    <t>Range</t>
  </si>
  <si>
    <t>Standard Deviation</t>
  </si>
  <si>
    <t>North Avg</t>
  </si>
  <si>
    <t>East Avg</t>
  </si>
  <si>
    <t>West Avg</t>
  </si>
  <si>
    <t>South Avg</t>
  </si>
  <si>
    <t>North: 1276.18</t>
  </si>
  <si>
    <t>East: 1160.53</t>
  </si>
  <si>
    <t>West: 1253.47</t>
  </si>
  <si>
    <t>South: 1234.82</t>
  </si>
  <si>
    <t>To list revenue from high to low to know what product is boosting in sales and know which products are not.</t>
  </si>
  <si>
    <t>Electronics Avg</t>
  </si>
  <si>
    <t>Office Supplies Avg</t>
  </si>
  <si>
    <t>Furniture Avg</t>
  </si>
  <si>
    <t>Adams's Avg Sales</t>
  </si>
  <si>
    <t>Brown's Avg Sales</t>
  </si>
  <si>
    <t>Chen's Avg Sales</t>
  </si>
  <si>
    <t>Diaz's Avg Sales</t>
  </si>
  <si>
    <t>He sold more units of a product that was higher in price.</t>
  </si>
  <si>
    <t>Avg Customer Rating</t>
  </si>
  <si>
    <t>min ratings</t>
  </si>
  <si>
    <t>Management will infer that it is below average and the representatives need to do a better job at getting those rates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</si>
</sst>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3" x14ac:knownFonts="1">
    <font>
      <sz val="11"/>
      <color theme="1"/>
      <name val="Calibri"/>
      <family val="2"/>
      <scheme val="minor"/>
    </font>
    <font>
      <b/>
      <sz val="11"/>
      <color theme="3"/>
      <name val="Calibri"/>
      <family val="2"/>
      <scheme val="minor"/>
    </font>
    <font>
      <sz val="11"/>
      <color rgb="FF242424"/>
      <name val="Aptos Narrow"/>
      <charset val="1"/>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6">
    <xf numFmtId="0" fontId="0" fillId="0" borderId="0" xfId="0"/>
    <xf numFmtId="0" fontId="0" fillId="0" borderId="0" xfId="0" applyAlignment="1">
      <alignment horizontal="center"/>
    </xf>
    <xf numFmtId="0" fontId="1" fillId="0" borderId="1" xfId="1"/>
    <xf numFmtId="0" fontId="2" fillId="0" borderId="0" xfId="0" applyFont="1"/>
    <xf numFmtId="2" fontId="0" fillId="0" borderId="0" xfId="0" applyNumberFormat="1"/>
    <xf numFmtId="170" fontId="0" fillId="0" borderId="0" xfId="0" applyNumberForma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148590</xdr:colOff>
      <xdr:row>48</xdr:row>
      <xdr:rowOff>72390</xdr:rowOff>
    </xdr:from>
    <xdr:to>
      <xdr:col>8</xdr:col>
      <xdr:colOff>38100</xdr:colOff>
      <xdr:row>55</xdr:row>
      <xdr:rowOff>43815</xdr:rowOff>
    </xdr:to>
    <xdr:sp macro="" textlink="">
      <xdr:nvSpPr>
        <xdr:cNvPr id="2" name="TextBox 1">
          <a:extLst>
            <a:ext uri="{FF2B5EF4-FFF2-40B4-BE49-F238E27FC236}">
              <a16:creationId xmlns:a16="http://schemas.microsoft.com/office/drawing/2014/main" id="{E478532D-204F-DFE2-0F1D-971302FE826A}"/>
            </a:ext>
          </a:extLst>
        </xdr:cNvPr>
        <xdr:cNvSpPr txBox="1"/>
      </xdr:nvSpPr>
      <xdr:spPr>
        <a:xfrm>
          <a:off x="148590" y="9216390"/>
          <a:ext cx="586359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Overall,</a:t>
          </a:r>
          <a:r>
            <a:rPr lang="en-US" sz="1100" baseline="0"/>
            <a:t> the store is peforming and has a maximum revenue of $2,700. The problem is, it can go higher if sales reps can get that minimum average of customer ratings increased. The higher the average goes up for customer ratings, the more the revenue for all regions go up. Simply due to customer ratings can be shown in surverys and those surveys will show recommendations to more potential customers that can have a positive impact on the stores revenue. With a better understanding now for management on the statistical views of the revenues and rates, they'll have a well developed game plan to make the changes that they want.</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activeCell="B33" sqref="B33"/>
    </sheetView>
  </sheetViews>
  <sheetFormatPr defaultRowHeight="15" x14ac:dyDescent="0.25"/>
  <cols>
    <col min="1" max="1" width="9.85546875" customWidth="1"/>
    <col min="2" max="2" width="7.140625" bestFit="1" customWidth="1"/>
    <col min="3" max="3" width="12" bestFit="1" customWidth="1"/>
    <col min="4" max="4" width="16.85546875" bestFit="1" customWidth="1"/>
    <col min="5" max="5" width="10.42578125" bestFit="1" customWidth="1"/>
    <col min="6" max="6" width="19.28515625" customWidth="1"/>
    <col min="7" max="7" width="12" bestFit="1" customWidth="1"/>
    <col min="8" max="8" width="16.28515625" bestFit="1" customWidth="1"/>
  </cols>
  <sheetData>
    <row r="1" spans="1:8" ht="24" customHeight="1" thickBot="1" x14ac:dyDescent="0.3">
      <c r="A1" s="2" t="s">
        <v>0</v>
      </c>
      <c r="B1" s="2" t="s">
        <v>1</v>
      </c>
      <c r="C1" s="2" t="s">
        <v>2</v>
      </c>
      <c r="D1" s="2" t="s">
        <v>3</v>
      </c>
      <c r="E1" s="2" t="s">
        <v>4</v>
      </c>
      <c r="F1" s="2" t="s">
        <v>5</v>
      </c>
      <c r="G1" s="2" t="s">
        <v>6</v>
      </c>
      <c r="H1" s="2" t="s">
        <v>7</v>
      </c>
    </row>
    <row r="2" spans="1:8" x14ac:dyDescent="0.25">
      <c r="A2" s="1">
        <v>1001</v>
      </c>
      <c r="B2" t="s">
        <v>8</v>
      </c>
      <c r="C2" t="s">
        <v>9</v>
      </c>
      <c r="D2" t="s">
        <v>10</v>
      </c>
      <c r="E2" s="1">
        <v>5</v>
      </c>
      <c r="F2">
        <v>320</v>
      </c>
      <c r="G2">
        <v>1600</v>
      </c>
      <c r="H2" s="1">
        <v>4.5</v>
      </c>
    </row>
    <row r="3" spans="1:8" x14ac:dyDescent="0.25">
      <c r="A3" s="1">
        <v>1002</v>
      </c>
      <c r="B3" t="s">
        <v>11</v>
      </c>
      <c r="C3" t="s">
        <v>12</v>
      </c>
      <c r="D3" t="s">
        <v>13</v>
      </c>
      <c r="E3" s="1">
        <v>2</v>
      </c>
      <c r="F3">
        <v>850</v>
      </c>
      <c r="G3">
        <v>1700</v>
      </c>
      <c r="H3" s="1">
        <v>4.2</v>
      </c>
    </row>
    <row r="4" spans="1:8" x14ac:dyDescent="0.25">
      <c r="A4" s="1">
        <v>1003</v>
      </c>
      <c r="B4" t="s">
        <v>14</v>
      </c>
      <c r="C4" t="s">
        <v>15</v>
      </c>
      <c r="D4" t="s">
        <v>10</v>
      </c>
      <c r="E4" s="1">
        <v>3</v>
      </c>
      <c r="F4">
        <v>300</v>
      </c>
      <c r="G4">
        <v>900</v>
      </c>
      <c r="H4" s="1">
        <v>3.9</v>
      </c>
    </row>
    <row r="5" spans="1:8" x14ac:dyDescent="0.25">
      <c r="A5" s="1">
        <v>1004</v>
      </c>
      <c r="B5" t="s">
        <v>16</v>
      </c>
      <c r="C5" t="s">
        <v>17</v>
      </c>
      <c r="D5" t="s">
        <v>18</v>
      </c>
      <c r="E5" s="1">
        <v>20</v>
      </c>
      <c r="F5">
        <v>25</v>
      </c>
      <c r="G5">
        <v>500</v>
      </c>
      <c r="H5" s="1">
        <v>4.7</v>
      </c>
    </row>
    <row r="6" spans="1:8" x14ac:dyDescent="0.25">
      <c r="A6" s="1">
        <v>1005</v>
      </c>
      <c r="B6" t="s">
        <v>8</v>
      </c>
      <c r="C6" t="s">
        <v>9</v>
      </c>
      <c r="D6" t="s">
        <v>13</v>
      </c>
      <c r="E6" s="1">
        <v>1</v>
      </c>
      <c r="F6">
        <v>1200</v>
      </c>
      <c r="G6">
        <v>1200</v>
      </c>
      <c r="H6" s="1">
        <v>4.0999999999999996</v>
      </c>
    </row>
    <row r="7" spans="1:8" x14ac:dyDescent="0.25">
      <c r="A7" s="1">
        <v>1006</v>
      </c>
      <c r="B7" t="s">
        <v>11</v>
      </c>
      <c r="C7" t="s">
        <v>12</v>
      </c>
      <c r="D7" t="s">
        <v>10</v>
      </c>
      <c r="E7" s="1">
        <v>4</v>
      </c>
      <c r="F7">
        <v>310</v>
      </c>
      <c r="G7">
        <v>1240</v>
      </c>
      <c r="H7" s="1">
        <v>3.8</v>
      </c>
    </row>
    <row r="8" spans="1:8" x14ac:dyDescent="0.25">
      <c r="A8" s="1">
        <v>1007</v>
      </c>
      <c r="B8" t="s">
        <v>14</v>
      </c>
      <c r="C8" t="s">
        <v>15</v>
      </c>
      <c r="D8" t="s">
        <v>18</v>
      </c>
      <c r="E8" s="1">
        <v>15</v>
      </c>
      <c r="F8">
        <v>22</v>
      </c>
      <c r="G8">
        <v>330</v>
      </c>
      <c r="H8" s="1">
        <v>4.5999999999999996</v>
      </c>
    </row>
    <row r="9" spans="1:8" x14ac:dyDescent="0.25">
      <c r="A9" s="1">
        <v>1008</v>
      </c>
      <c r="B9" t="s">
        <v>16</v>
      </c>
      <c r="C9" t="s">
        <v>17</v>
      </c>
      <c r="D9" t="s">
        <v>10</v>
      </c>
      <c r="E9" s="1">
        <v>6</v>
      </c>
      <c r="F9">
        <v>295</v>
      </c>
      <c r="G9">
        <v>1770</v>
      </c>
      <c r="H9" s="1">
        <v>4.4000000000000004</v>
      </c>
    </row>
    <row r="10" spans="1:8" x14ac:dyDescent="0.25">
      <c r="A10" s="1">
        <v>1009</v>
      </c>
      <c r="B10" t="s">
        <v>8</v>
      </c>
      <c r="C10" t="s">
        <v>9</v>
      </c>
      <c r="D10" t="s">
        <v>18</v>
      </c>
      <c r="E10" s="1">
        <v>18</v>
      </c>
      <c r="F10">
        <v>24</v>
      </c>
      <c r="G10">
        <v>432</v>
      </c>
      <c r="H10" s="1">
        <v>4.8</v>
      </c>
    </row>
    <row r="11" spans="1:8" x14ac:dyDescent="0.25">
      <c r="A11" s="1">
        <v>1010</v>
      </c>
      <c r="B11" t="s">
        <v>11</v>
      </c>
      <c r="C11" t="s">
        <v>12</v>
      </c>
      <c r="D11" t="s">
        <v>13</v>
      </c>
      <c r="E11" s="1">
        <v>3</v>
      </c>
      <c r="F11">
        <v>900</v>
      </c>
      <c r="G11">
        <v>2700</v>
      </c>
      <c r="H11" s="1">
        <v>4</v>
      </c>
    </row>
    <row r="12" spans="1:8" x14ac:dyDescent="0.25">
      <c r="A12" s="1">
        <v>1011</v>
      </c>
      <c r="B12" t="s">
        <v>14</v>
      </c>
      <c r="C12" t="s">
        <v>15</v>
      </c>
      <c r="D12" t="s">
        <v>13</v>
      </c>
      <c r="E12" s="1">
        <v>2</v>
      </c>
      <c r="F12">
        <v>950</v>
      </c>
      <c r="G12">
        <v>1900</v>
      </c>
      <c r="H12" s="1">
        <v>4.3</v>
      </c>
    </row>
    <row r="13" spans="1:8" x14ac:dyDescent="0.25">
      <c r="A13" s="1">
        <v>1012</v>
      </c>
      <c r="B13" t="s">
        <v>16</v>
      </c>
      <c r="C13" t="s">
        <v>17</v>
      </c>
      <c r="D13" t="s">
        <v>18</v>
      </c>
      <c r="E13" s="1">
        <v>25</v>
      </c>
      <c r="F13">
        <v>23</v>
      </c>
      <c r="G13">
        <v>575</v>
      </c>
      <c r="H13" s="1">
        <v>4.9000000000000004</v>
      </c>
    </row>
    <row r="14" spans="1:8" x14ac:dyDescent="0.25">
      <c r="A14" s="1">
        <v>1013</v>
      </c>
      <c r="B14" t="s">
        <v>8</v>
      </c>
      <c r="C14" t="s">
        <v>9</v>
      </c>
      <c r="D14" t="s">
        <v>10</v>
      </c>
      <c r="E14" s="1">
        <v>7</v>
      </c>
      <c r="F14">
        <v>315</v>
      </c>
      <c r="G14">
        <v>2205</v>
      </c>
      <c r="H14" s="1">
        <v>4.2</v>
      </c>
    </row>
    <row r="15" spans="1:8" x14ac:dyDescent="0.25">
      <c r="A15" s="1">
        <v>1014</v>
      </c>
      <c r="B15" t="s">
        <v>11</v>
      </c>
      <c r="C15" t="s">
        <v>12</v>
      </c>
      <c r="D15" t="s">
        <v>18</v>
      </c>
      <c r="E15" s="1">
        <v>30</v>
      </c>
      <c r="F15">
        <v>21</v>
      </c>
      <c r="G15">
        <v>630</v>
      </c>
      <c r="H15" s="1">
        <v>4.5999999999999996</v>
      </c>
    </row>
    <row r="16" spans="1:8" x14ac:dyDescent="0.25">
      <c r="A16" s="1">
        <v>1015</v>
      </c>
      <c r="B16" t="s">
        <v>14</v>
      </c>
      <c r="C16" t="s">
        <v>15</v>
      </c>
      <c r="D16" t="s">
        <v>10</v>
      </c>
      <c r="E16" s="1">
        <v>5</v>
      </c>
      <c r="F16">
        <v>305</v>
      </c>
      <c r="G16">
        <v>1525</v>
      </c>
      <c r="H16" s="1">
        <v>4.0999999999999996</v>
      </c>
    </row>
    <row r="17" spans="1:8" x14ac:dyDescent="0.25">
      <c r="A17" s="1">
        <v>1016</v>
      </c>
      <c r="B17" t="s">
        <v>16</v>
      </c>
      <c r="C17" t="s">
        <v>17</v>
      </c>
      <c r="D17" t="s">
        <v>13</v>
      </c>
      <c r="E17" s="1">
        <v>2</v>
      </c>
      <c r="F17">
        <v>980</v>
      </c>
      <c r="G17">
        <v>1960</v>
      </c>
      <c r="H17" s="1">
        <v>3.9</v>
      </c>
    </row>
    <row r="18" spans="1:8" x14ac:dyDescent="0.25">
      <c r="A18" s="1">
        <v>1017</v>
      </c>
      <c r="B18" t="s">
        <v>8</v>
      </c>
      <c r="C18" t="s">
        <v>9</v>
      </c>
      <c r="D18" t="s">
        <v>18</v>
      </c>
      <c r="E18" s="1">
        <v>22</v>
      </c>
      <c r="F18">
        <v>24</v>
      </c>
      <c r="G18">
        <v>528</v>
      </c>
      <c r="H18" s="1">
        <v>4.7</v>
      </c>
    </row>
    <row r="19" spans="1:8" x14ac:dyDescent="0.25">
      <c r="A19" s="1">
        <v>1018</v>
      </c>
      <c r="B19" t="s">
        <v>11</v>
      </c>
      <c r="C19" t="s">
        <v>12</v>
      </c>
      <c r="D19" t="s">
        <v>10</v>
      </c>
      <c r="E19" s="1">
        <v>3</v>
      </c>
      <c r="F19">
        <v>299</v>
      </c>
      <c r="G19">
        <v>897</v>
      </c>
      <c r="H19" s="1">
        <v>3.7</v>
      </c>
    </row>
    <row r="20" spans="1:8" x14ac:dyDescent="0.25">
      <c r="A20" s="1">
        <v>1019</v>
      </c>
      <c r="B20" t="s">
        <v>14</v>
      </c>
      <c r="C20" t="s">
        <v>15</v>
      </c>
      <c r="D20" t="s">
        <v>18</v>
      </c>
      <c r="E20" s="1">
        <v>19</v>
      </c>
      <c r="F20">
        <v>23</v>
      </c>
      <c r="G20">
        <v>437</v>
      </c>
      <c r="H20" s="1">
        <v>4.5</v>
      </c>
    </row>
    <row r="21" spans="1:8" x14ac:dyDescent="0.25">
      <c r="A21" s="1">
        <v>1020</v>
      </c>
      <c r="B21" t="s">
        <v>16</v>
      </c>
      <c r="C21" t="s">
        <v>17</v>
      </c>
      <c r="D21" t="s">
        <v>10</v>
      </c>
      <c r="E21" s="1">
        <v>8</v>
      </c>
      <c r="F21">
        <v>310</v>
      </c>
      <c r="G21">
        <v>2480</v>
      </c>
      <c r="H21" s="1">
        <v>4.4000000000000004</v>
      </c>
    </row>
    <row r="22" spans="1:8" x14ac:dyDescent="0.25">
      <c r="G22">
        <f>MEDIAN(G2:G21)</f>
        <v>1220</v>
      </c>
    </row>
    <row r="24" spans="1:8" x14ac:dyDescent="0.25">
      <c r="A24" t="s">
        <v>76</v>
      </c>
      <c r="C24" s="4">
        <f>AVERAGE(G2:G18)</f>
        <v>1276.1764705882354</v>
      </c>
      <c r="F24" t="s">
        <v>58</v>
      </c>
      <c r="G24">
        <f>AVERAGE(G2:G21)</f>
        <v>1275.45</v>
      </c>
    </row>
    <row r="25" spans="1:8" x14ac:dyDescent="0.25">
      <c r="A25" t="s">
        <v>77</v>
      </c>
      <c r="C25" s="4">
        <f>AVERAGE(G3:G19)</f>
        <v>1234.8235294117646</v>
      </c>
      <c r="F25" t="s">
        <v>59</v>
      </c>
      <c r="G25">
        <f>MEDIAN(G2:G21)</f>
        <v>1220</v>
      </c>
    </row>
    <row r="26" spans="1:8" x14ac:dyDescent="0.25">
      <c r="A26" t="s">
        <v>78</v>
      </c>
      <c r="C26" s="4">
        <f>AVERAGE(G4:G20)</f>
        <v>1160.5294117647059</v>
      </c>
      <c r="F26" t="s">
        <v>60</v>
      </c>
      <c r="G26">
        <f>MIN(G2:G21)</f>
        <v>330</v>
      </c>
    </row>
    <row r="27" spans="1:8" x14ac:dyDescent="0.25">
      <c r="A27" t="s">
        <v>79</v>
      </c>
      <c r="C27" s="4">
        <f>AVERAGE(G5:G21)</f>
        <v>1253.4705882352941</v>
      </c>
      <c r="F27" t="s">
        <v>61</v>
      </c>
      <c r="G27">
        <f>MAX(G2:G21)</f>
        <v>2700</v>
      </c>
    </row>
    <row r="28" spans="1:8" x14ac:dyDescent="0.25">
      <c r="F28" t="s">
        <v>62</v>
      </c>
      <c r="G28">
        <f>SUM(G2:G21)</f>
        <v>25509</v>
      </c>
    </row>
    <row r="29" spans="1:8" x14ac:dyDescent="0.25">
      <c r="F29" t="s">
        <v>63</v>
      </c>
      <c r="H29" s="4">
        <f>_xlfn.STDEV.P(G2:G21)</f>
        <v>723.26022115141927</v>
      </c>
    </row>
    <row r="30" spans="1:8" x14ac:dyDescent="0.25">
      <c r="A30" t="s">
        <v>81</v>
      </c>
    </row>
    <row r="31" spans="1:8" x14ac:dyDescent="0.25">
      <c r="A31" s="5">
        <f>AVERAGE(H2:H21)</f>
        <v>4.3150000000000004</v>
      </c>
      <c r="F31" t="s">
        <v>64</v>
      </c>
      <c r="G31" s="4">
        <f>AVERAGE(G2:G18)</f>
        <v>1276.1764705882354</v>
      </c>
    </row>
    <row r="32" spans="1:8" x14ac:dyDescent="0.25">
      <c r="A32" t="s">
        <v>82</v>
      </c>
      <c r="B32">
        <f>MIN(H2:H21)</f>
        <v>3.7</v>
      </c>
      <c r="F32" t="s">
        <v>65</v>
      </c>
      <c r="G32" s="4">
        <f>AVERAGE(G4:G20)</f>
        <v>1160.5294117647059</v>
      </c>
    </row>
    <row r="33" spans="6:8" x14ac:dyDescent="0.25">
      <c r="F33" t="s">
        <v>66</v>
      </c>
      <c r="G33" s="4">
        <f>AVERAGE(G5:G21)</f>
        <v>1253.4705882352941</v>
      </c>
    </row>
    <row r="34" spans="6:8" x14ac:dyDescent="0.25">
      <c r="F34" t="s">
        <v>67</v>
      </c>
      <c r="G34" s="4">
        <f>AVERAGE(G3:G19)</f>
        <v>1234.8235294117646</v>
      </c>
    </row>
    <row r="37" spans="6:8" x14ac:dyDescent="0.25">
      <c r="F37" t="s">
        <v>73</v>
      </c>
      <c r="G37">
        <f>AVERAGE(G2:G21)</f>
        <v>1275.45</v>
      </c>
    </row>
    <row r="38" spans="6:8" x14ac:dyDescent="0.25">
      <c r="F38" t="s">
        <v>74</v>
      </c>
      <c r="G38" s="4">
        <f>AVERAGE(G5:G20)</f>
        <v>1176.8125</v>
      </c>
      <c r="H38" s="4"/>
    </row>
    <row r="39" spans="6:8" x14ac:dyDescent="0.25">
      <c r="F39" t="s">
        <v>75</v>
      </c>
      <c r="G39" s="4">
        <f>AVERAGE(G3:G17)</f>
        <v>1304.4666666666667</v>
      </c>
    </row>
  </sheetData>
  <autoFilter ref="A1:H2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abSelected="1" workbookViewId="0">
      <selection activeCell="O53" sqref="O53"/>
    </sheetView>
  </sheetViews>
  <sheetFormatPr defaultRowHeight="15" x14ac:dyDescent="0.25"/>
  <cols>
    <col min="1" max="1" width="9.28515625" customWidth="1"/>
    <col min="5" max="5" width="11" customWidth="1"/>
    <col min="6" max="6" width="15" customWidth="1"/>
    <col min="7" max="7" width="12.28515625" customWidth="1"/>
    <col min="8" max="8" width="14.5703125" customWidth="1"/>
    <col min="9" max="9" width="15.140625" customWidth="1"/>
  </cols>
  <sheetData>
    <row r="1" spans="1:3" x14ac:dyDescent="0.25">
      <c r="A1" t="s">
        <v>19</v>
      </c>
    </row>
    <row r="3" spans="1:3" x14ac:dyDescent="0.25">
      <c r="A3" t="s">
        <v>20</v>
      </c>
    </row>
    <row r="4" spans="1:3" x14ac:dyDescent="0.25">
      <c r="A4" t="s">
        <v>21</v>
      </c>
    </row>
    <row r="5" spans="1:3" x14ac:dyDescent="0.25">
      <c r="A5" t="s">
        <v>22</v>
      </c>
    </row>
    <row r="6" spans="1:3" x14ac:dyDescent="0.25">
      <c r="A6" t="s">
        <v>23</v>
      </c>
    </row>
    <row r="8" spans="1:3" x14ac:dyDescent="0.25">
      <c r="A8" t="s">
        <v>24</v>
      </c>
    </row>
    <row r="9" spans="1:3" x14ac:dyDescent="0.25">
      <c r="A9" t="s">
        <v>25</v>
      </c>
    </row>
    <row r="11" spans="1:3" x14ac:dyDescent="0.25">
      <c r="A11" t="s">
        <v>26</v>
      </c>
    </row>
    <row r="12" spans="1:3" x14ac:dyDescent="0.25">
      <c r="A12" t="s">
        <v>27</v>
      </c>
    </row>
    <row r="13" spans="1:3" x14ac:dyDescent="0.25">
      <c r="A13" t="s">
        <v>28</v>
      </c>
      <c r="C13">
        <v>1275.45</v>
      </c>
    </row>
    <row r="14" spans="1:3" x14ac:dyDescent="0.25">
      <c r="A14" t="s">
        <v>29</v>
      </c>
      <c r="C14">
        <v>1220</v>
      </c>
    </row>
    <row r="15" spans="1:3" x14ac:dyDescent="0.25">
      <c r="A15" t="s">
        <v>30</v>
      </c>
      <c r="C15">
        <v>330</v>
      </c>
    </row>
    <row r="16" spans="1:3" x14ac:dyDescent="0.25">
      <c r="A16" t="s">
        <v>31</v>
      </c>
      <c r="C16" s="3">
        <v>2700</v>
      </c>
    </row>
    <row r="17" spans="1:9" x14ac:dyDescent="0.25">
      <c r="A17" t="s">
        <v>32</v>
      </c>
      <c r="C17">
        <v>25509</v>
      </c>
    </row>
    <row r="18" spans="1:9" x14ac:dyDescent="0.25">
      <c r="A18" t="s">
        <v>33</v>
      </c>
      <c r="D18">
        <v>723.26</v>
      </c>
    </row>
    <row r="20" spans="1:9" x14ac:dyDescent="0.25">
      <c r="A20" t="s">
        <v>34</v>
      </c>
    </row>
    <row r="22" spans="1:9" x14ac:dyDescent="0.25">
      <c r="A22" t="s">
        <v>35</v>
      </c>
    </row>
    <row r="23" spans="1:9" x14ac:dyDescent="0.25">
      <c r="A23" t="s">
        <v>36</v>
      </c>
    </row>
    <row r="24" spans="1:9" x14ac:dyDescent="0.25">
      <c r="A24" t="s">
        <v>37</v>
      </c>
      <c r="F24" t="s">
        <v>68</v>
      </c>
      <c r="G24" t="s">
        <v>69</v>
      </c>
      <c r="H24" t="s">
        <v>70</v>
      </c>
      <c r="I24" t="s">
        <v>71</v>
      </c>
    </row>
    <row r="25" spans="1:9" x14ac:dyDescent="0.25">
      <c r="A25" t="s">
        <v>38</v>
      </c>
      <c r="E25" t="s">
        <v>8</v>
      </c>
    </row>
    <row r="26" spans="1:9" x14ac:dyDescent="0.25">
      <c r="A26" t="s">
        <v>39</v>
      </c>
      <c r="F26" t="s">
        <v>72</v>
      </c>
    </row>
    <row r="28" spans="1:9" x14ac:dyDescent="0.25">
      <c r="A28" t="s">
        <v>40</v>
      </c>
    </row>
    <row r="29" spans="1:9" x14ac:dyDescent="0.25">
      <c r="A29" t="s">
        <v>41</v>
      </c>
    </row>
    <row r="30" spans="1:9" x14ac:dyDescent="0.25">
      <c r="A30" t="s">
        <v>42</v>
      </c>
    </row>
    <row r="31" spans="1:9" x14ac:dyDescent="0.25">
      <c r="A31" t="s">
        <v>43</v>
      </c>
      <c r="E31" t="s">
        <v>13</v>
      </c>
    </row>
    <row r="32" spans="1:9" x14ac:dyDescent="0.25">
      <c r="A32" t="s">
        <v>44</v>
      </c>
      <c r="E32" t="s">
        <v>18</v>
      </c>
    </row>
    <row r="34" spans="1:7" x14ac:dyDescent="0.25">
      <c r="A34" t="s">
        <v>45</v>
      </c>
    </row>
    <row r="35" spans="1:7" x14ac:dyDescent="0.25">
      <c r="A35" t="s">
        <v>46</v>
      </c>
    </row>
    <row r="36" spans="1:7" x14ac:dyDescent="0.25">
      <c r="A36" t="s">
        <v>47</v>
      </c>
    </row>
    <row r="37" spans="1:7" x14ac:dyDescent="0.25">
      <c r="A37" t="s">
        <v>48</v>
      </c>
      <c r="E37" t="s">
        <v>9</v>
      </c>
    </row>
    <row r="38" spans="1:7" x14ac:dyDescent="0.25">
      <c r="A38" t="s">
        <v>49</v>
      </c>
      <c r="F38" t="s">
        <v>80</v>
      </c>
    </row>
    <row r="40" spans="1:7" x14ac:dyDescent="0.25">
      <c r="A40" t="s">
        <v>50</v>
      </c>
    </row>
    <row r="41" spans="1:7" x14ac:dyDescent="0.25">
      <c r="A41" t="s">
        <v>51</v>
      </c>
    </row>
    <row r="42" spans="1:7" x14ac:dyDescent="0.25">
      <c r="A42" t="s">
        <v>52</v>
      </c>
      <c r="E42">
        <v>4.3</v>
      </c>
    </row>
    <row r="43" spans="1:7" x14ac:dyDescent="0.25">
      <c r="A43" t="s">
        <v>53</v>
      </c>
      <c r="F43">
        <v>3.7</v>
      </c>
    </row>
    <row r="44" spans="1:7" x14ac:dyDescent="0.25">
      <c r="A44" t="s">
        <v>54</v>
      </c>
      <c r="G44" t="s">
        <v>83</v>
      </c>
    </row>
    <row r="46" spans="1:7" x14ac:dyDescent="0.25">
      <c r="A46" t="s">
        <v>55</v>
      </c>
    </row>
    <row r="47" spans="1:7" x14ac:dyDescent="0.25">
      <c r="A47" t="s">
        <v>56</v>
      </c>
    </row>
    <row r="48" spans="1:7" x14ac:dyDescent="0.25">
      <c r="A48" t="s">
        <v>57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Jonathan Lopez</cp:lastModifiedBy>
  <cp:revision/>
  <dcterms:created xsi:type="dcterms:W3CDTF">2026-04-07T19:25:39Z</dcterms:created>
  <dcterms:modified xsi:type="dcterms:W3CDTF">2026-04-08T21:07:33Z</dcterms:modified>
  <cp:category/>
  <cp:contentStatus/>
</cp:coreProperties>
</file>